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Residential\Rent\"/>
    </mc:Choice>
  </mc:AlternateContent>
  <xr:revisionPtr revIDLastSave="0" documentId="8_{8CBB6486-89ED-4554-B29F-742BDE2D1836}" xr6:coauthVersionLast="47" xr6:coauthVersionMax="47" xr10:uidLastSave="{00000000-0000-0000-0000-000000000000}"/>
  <bookViews>
    <workbookView xWindow="-98" yWindow="-98" windowWidth="24496" windowHeight="15675" firstSheet="1" activeTab="4" xr2:uid="{00000000-000D-0000-FFFF-FFFF00000000}"/>
  </bookViews>
  <sheets>
    <sheet name="Dashboard" sheetId="1" r:id="rId1"/>
    <sheet name="Lists &amp; Status Values" sheetId="2" r:id="rId2"/>
    <sheet name="Owner Master Register" sheetId="3" r:id="rId3"/>
    <sheet name="Property Master Register" sheetId="4" r:id="rId4"/>
    <sheet name="Owner Onboarding Checklist" sheetId="5" r:id="rId5"/>
    <sheet name="Rental Assessment &amp; Setup" sheetId="6" r:id="rId6"/>
    <sheet name="Marketing &amp; Enquiry Tracker" sheetId="7" r:id="rId7"/>
    <sheet name="Tenant Application Register" sheetId="8" r:id="rId8"/>
    <sheet name="Tenant Verification Checklist" sheetId="9" r:id="rId9"/>
    <sheet name="Tenant Approval Register" sheetId="10" r:id="rId10"/>
    <sheet name="Lease Register" sheetId="11" r:id="rId11"/>
    <sheet name="Move-In &amp; Entry Checklist" sheetId="12" r:id="rId12"/>
    <sheet name="Rent Collection Register" sheetId="13" r:id="rId13"/>
    <sheet name="Owner Disbursement Register" sheetId="14" r:id="rId14"/>
    <sheet name="Owner Statement Template" sheetId="15" r:id="rId15"/>
    <sheet name="Arrears Tracker" sheetId="16" r:id="rId16"/>
    <sheet name="Bond &amp; Deposit Register" sheetId="17" r:id="rId17"/>
    <sheet name="Bond Adjustment &amp; Refund" sheetId="18" r:id="rId18"/>
    <sheet name="Inspection Register" sheetId="19" r:id="rId19"/>
    <sheet name="Entry Inspection Checklist" sheetId="20" r:id="rId20"/>
    <sheet name="Routine Inspection Checklist" sheetId="21" r:id="rId21"/>
    <sheet name="Exit Inspection Checklist" sheetId="22" r:id="rId22"/>
    <sheet name="Maintenance Register" sheetId="23" r:id="rId23"/>
    <sheet name="Expense Approval Register" sheetId="24" r:id="rId24"/>
    <sheet name="Tenant Request Register" sheetId="25" r:id="rId25"/>
    <sheet name="Utility &amp; Bills Register" sheetId="26" r:id="rId26"/>
    <sheet name="Occupant &amp; Subletting Register" sheetId="27" r:id="rId27"/>
    <sheet name="Non-Circumvention Register" sheetId="28" r:id="rId28"/>
    <sheet name="Communication Log" sheetId="29" r:id="rId29"/>
    <sheet name="Renewal Register" sheetId="30" r:id="rId30"/>
    <sheet name="Termination &amp; Vacancy" sheetId="31" r:id="rId31"/>
    <sheet name="Risk Register" sheetId="32" r:id="rId32"/>
    <sheet name="KPI Dashboard Data" sheetId="33" r:id="rId33"/>
    <sheet name="CRM Mapping for Renetech" sheetId="34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" i="14" l="1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L68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P200" i="13"/>
  <c r="J200" i="13"/>
  <c r="P199" i="13"/>
  <c r="J199" i="13"/>
  <c r="P198" i="13"/>
  <c r="J198" i="13"/>
  <c r="P197" i="13"/>
  <c r="J197" i="13"/>
  <c r="P196" i="13"/>
  <c r="J196" i="13"/>
  <c r="P195" i="13"/>
  <c r="J195" i="13"/>
  <c r="P194" i="13"/>
  <c r="J194" i="13"/>
  <c r="P193" i="13"/>
  <c r="J193" i="13"/>
  <c r="P192" i="13"/>
  <c r="J192" i="13"/>
  <c r="P191" i="13"/>
  <c r="J191" i="13"/>
  <c r="P190" i="13"/>
  <c r="J190" i="13"/>
  <c r="P189" i="13"/>
  <c r="J189" i="13"/>
  <c r="P188" i="13"/>
  <c r="J188" i="13"/>
  <c r="P187" i="13"/>
  <c r="J187" i="13"/>
  <c r="P186" i="13"/>
  <c r="J186" i="13"/>
  <c r="P185" i="13"/>
  <c r="J185" i="13"/>
  <c r="P184" i="13"/>
  <c r="J184" i="13"/>
  <c r="P183" i="13"/>
  <c r="J183" i="13"/>
  <c r="P182" i="13"/>
  <c r="J182" i="13"/>
  <c r="P181" i="13"/>
  <c r="J181" i="13"/>
  <c r="P180" i="13"/>
  <c r="J180" i="13"/>
  <c r="P179" i="13"/>
  <c r="J179" i="13"/>
  <c r="P178" i="13"/>
  <c r="J178" i="13"/>
  <c r="P177" i="13"/>
  <c r="J177" i="13"/>
  <c r="P176" i="13"/>
  <c r="J176" i="13"/>
  <c r="P175" i="13"/>
  <c r="J175" i="13"/>
  <c r="P174" i="13"/>
  <c r="J174" i="13"/>
  <c r="P173" i="13"/>
  <c r="J173" i="13"/>
  <c r="P172" i="13"/>
  <c r="J172" i="13"/>
  <c r="P171" i="13"/>
  <c r="J171" i="13"/>
  <c r="P170" i="13"/>
  <c r="J170" i="13"/>
  <c r="P169" i="13"/>
  <c r="J169" i="13"/>
  <c r="P168" i="13"/>
  <c r="J168" i="13"/>
  <c r="P167" i="13"/>
  <c r="J167" i="13"/>
  <c r="P166" i="13"/>
  <c r="J166" i="13"/>
  <c r="P165" i="13"/>
  <c r="J165" i="13"/>
  <c r="P164" i="13"/>
  <c r="J164" i="13"/>
  <c r="P163" i="13"/>
  <c r="J163" i="13"/>
  <c r="P162" i="13"/>
  <c r="J162" i="13"/>
  <c r="P161" i="13"/>
  <c r="J161" i="13"/>
  <c r="P160" i="13"/>
  <c r="J160" i="13"/>
  <c r="P159" i="13"/>
  <c r="J159" i="13"/>
  <c r="P158" i="13"/>
  <c r="J158" i="13"/>
  <c r="P157" i="13"/>
  <c r="J157" i="13"/>
  <c r="P156" i="13"/>
  <c r="J156" i="13"/>
  <c r="P155" i="13"/>
  <c r="J155" i="13"/>
  <c r="P154" i="13"/>
  <c r="J154" i="13"/>
  <c r="P153" i="13"/>
  <c r="J153" i="13"/>
  <c r="P152" i="13"/>
  <c r="N152" i="13"/>
  <c r="J152" i="13"/>
  <c r="P151" i="13"/>
  <c r="J151" i="13"/>
  <c r="P150" i="13"/>
  <c r="J150" i="13"/>
  <c r="P149" i="13"/>
  <c r="J149" i="13"/>
  <c r="P148" i="13"/>
  <c r="J148" i="13"/>
  <c r="P147" i="13"/>
  <c r="J147" i="13"/>
  <c r="P146" i="13"/>
  <c r="J146" i="13"/>
  <c r="P145" i="13"/>
  <c r="J145" i="13"/>
  <c r="P144" i="13"/>
  <c r="J144" i="13"/>
  <c r="P143" i="13"/>
  <c r="J143" i="13"/>
  <c r="P142" i="13"/>
  <c r="J142" i="13"/>
  <c r="P141" i="13"/>
  <c r="J141" i="13"/>
  <c r="P140" i="13"/>
  <c r="J140" i="13"/>
  <c r="P139" i="13"/>
  <c r="J139" i="13"/>
  <c r="P138" i="13"/>
  <c r="J138" i="13"/>
  <c r="P137" i="13"/>
  <c r="J137" i="13"/>
  <c r="P136" i="13"/>
  <c r="J136" i="13"/>
  <c r="P135" i="13"/>
  <c r="J135" i="13"/>
  <c r="P134" i="13"/>
  <c r="J134" i="13"/>
  <c r="P133" i="13"/>
  <c r="J133" i="13"/>
  <c r="P132" i="13"/>
  <c r="J132" i="13"/>
  <c r="P131" i="13"/>
  <c r="J131" i="13"/>
  <c r="P130" i="13"/>
  <c r="J130" i="13"/>
  <c r="P129" i="13"/>
  <c r="J129" i="13"/>
  <c r="P128" i="13"/>
  <c r="J128" i="13"/>
  <c r="P127" i="13"/>
  <c r="J127" i="13"/>
  <c r="P126" i="13"/>
  <c r="J126" i="13"/>
  <c r="P125" i="13"/>
  <c r="J125" i="13"/>
  <c r="P124" i="13"/>
  <c r="J124" i="13"/>
  <c r="P123" i="13"/>
  <c r="J123" i="13"/>
  <c r="P122" i="13"/>
  <c r="J122" i="13"/>
  <c r="P121" i="13"/>
  <c r="J121" i="13"/>
  <c r="P120" i="13"/>
  <c r="J120" i="13"/>
  <c r="P119" i="13"/>
  <c r="J119" i="13"/>
  <c r="P118" i="13"/>
  <c r="J118" i="13"/>
  <c r="P117" i="13"/>
  <c r="J117" i="13"/>
  <c r="P116" i="13"/>
  <c r="J116" i="13"/>
  <c r="P115" i="13"/>
  <c r="J115" i="13"/>
  <c r="P114" i="13"/>
  <c r="J114" i="13"/>
  <c r="P113" i="13"/>
  <c r="J113" i="13"/>
  <c r="P112" i="13"/>
  <c r="J112" i="13"/>
  <c r="P111" i="13"/>
  <c r="J111" i="13"/>
  <c r="P110" i="13"/>
  <c r="J110" i="13"/>
  <c r="P109" i="13"/>
  <c r="J109" i="13"/>
  <c r="P108" i="13"/>
  <c r="J108" i="13"/>
  <c r="P107" i="13"/>
  <c r="J107" i="13"/>
  <c r="P106" i="13"/>
  <c r="J106" i="13"/>
  <c r="P105" i="13"/>
  <c r="J105" i="13"/>
  <c r="P104" i="13"/>
  <c r="J104" i="13"/>
  <c r="P103" i="13"/>
  <c r="J103" i="13"/>
  <c r="P102" i="13"/>
  <c r="J102" i="13"/>
  <c r="P101" i="13"/>
  <c r="J101" i="13"/>
  <c r="P100" i="13"/>
  <c r="J100" i="13"/>
  <c r="P99" i="13"/>
  <c r="J99" i="13"/>
  <c r="P98" i="13"/>
  <c r="J98" i="13"/>
  <c r="P97" i="13"/>
  <c r="J97" i="13"/>
  <c r="P96" i="13"/>
  <c r="J96" i="13"/>
  <c r="P95" i="13"/>
  <c r="J95" i="13"/>
  <c r="P94" i="13"/>
  <c r="J94" i="13"/>
  <c r="P93" i="13"/>
  <c r="J93" i="13"/>
  <c r="P92" i="13"/>
  <c r="J92" i="13"/>
  <c r="P91" i="13"/>
  <c r="J91" i="13"/>
  <c r="P90" i="13"/>
  <c r="J90" i="13"/>
  <c r="P89" i="13"/>
  <c r="J89" i="13"/>
  <c r="P88" i="13"/>
  <c r="J88" i="13"/>
  <c r="P87" i="13"/>
  <c r="J87" i="13"/>
  <c r="P86" i="13"/>
  <c r="J86" i="13"/>
  <c r="P85" i="13"/>
  <c r="J85" i="13"/>
  <c r="P84" i="13"/>
  <c r="J84" i="13"/>
  <c r="P83" i="13"/>
  <c r="J83" i="13"/>
  <c r="P82" i="13"/>
  <c r="J82" i="13"/>
  <c r="P81" i="13"/>
  <c r="J81" i="13"/>
  <c r="P80" i="13"/>
  <c r="J80" i="13"/>
  <c r="P79" i="13"/>
  <c r="J79" i="13"/>
  <c r="P78" i="13"/>
  <c r="J78" i="13"/>
  <c r="P77" i="13"/>
  <c r="J77" i="13"/>
  <c r="P76" i="13"/>
  <c r="J76" i="13"/>
  <c r="P75" i="13"/>
  <c r="J75" i="13"/>
  <c r="P74" i="13"/>
  <c r="J74" i="13"/>
  <c r="P73" i="13"/>
  <c r="J73" i="13"/>
  <c r="P72" i="13"/>
  <c r="J72" i="13"/>
  <c r="P71" i="13"/>
  <c r="J71" i="13"/>
  <c r="P70" i="13"/>
  <c r="J70" i="13"/>
  <c r="P69" i="13"/>
  <c r="J69" i="13"/>
  <c r="P68" i="13"/>
  <c r="J68" i="13"/>
  <c r="P67" i="13"/>
  <c r="J67" i="13"/>
  <c r="P66" i="13"/>
  <c r="J66" i="13"/>
  <c r="P65" i="13"/>
  <c r="J65" i="13"/>
  <c r="P64" i="13"/>
  <c r="J64" i="13"/>
  <c r="P63" i="13"/>
  <c r="J63" i="13"/>
  <c r="P62" i="13"/>
  <c r="J62" i="13"/>
  <c r="P61" i="13"/>
  <c r="J61" i="13"/>
  <c r="P60" i="13"/>
  <c r="J60" i="13"/>
  <c r="P59" i="13"/>
  <c r="J59" i="13"/>
  <c r="P58" i="13"/>
  <c r="J58" i="13"/>
  <c r="P57" i="13"/>
  <c r="J57" i="13"/>
  <c r="P56" i="13"/>
  <c r="J56" i="13"/>
  <c r="P55" i="13"/>
  <c r="J55" i="13"/>
  <c r="P54" i="13"/>
  <c r="J54" i="13"/>
  <c r="P53" i="13"/>
  <c r="J53" i="13"/>
  <c r="P52" i="13"/>
  <c r="J52" i="13"/>
  <c r="P51" i="13"/>
  <c r="J51" i="13"/>
  <c r="P50" i="13"/>
  <c r="J50" i="13"/>
  <c r="P49" i="13"/>
  <c r="J49" i="13"/>
  <c r="P48" i="13"/>
  <c r="J48" i="13"/>
  <c r="P47" i="13"/>
  <c r="J47" i="13"/>
  <c r="P46" i="13"/>
  <c r="J46" i="13"/>
  <c r="P45" i="13"/>
  <c r="J45" i="13"/>
  <c r="P44" i="13"/>
  <c r="J44" i="13"/>
  <c r="P43" i="13"/>
  <c r="J43" i="13"/>
  <c r="P42" i="13"/>
  <c r="J42" i="13"/>
  <c r="P41" i="13"/>
  <c r="J41" i="13"/>
  <c r="P40" i="13"/>
  <c r="J40" i="13"/>
  <c r="P39" i="13"/>
  <c r="J39" i="13"/>
  <c r="P38" i="13"/>
  <c r="J38" i="13"/>
  <c r="P37" i="13"/>
  <c r="J37" i="13"/>
  <c r="P36" i="13"/>
  <c r="J36" i="13"/>
  <c r="P35" i="13"/>
  <c r="J35" i="13"/>
  <c r="P34" i="13"/>
  <c r="J34" i="13"/>
  <c r="P33" i="13"/>
  <c r="J33" i="13"/>
  <c r="P32" i="13"/>
  <c r="J32" i="13"/>
  <c r="P31" i="13"/>
  <c r="J31" i="13"/>
  <c r="P30" i="13"/>
  <c r="J30" i="13"/>
  <c r="P29" i="13"/>
  <c r="J29" i="13"/>
  <c r="P28" i="13"/>
  <c r="J28" i="13"/>
  <c r="P27" i="13"/>
  <c r="J27" i="13"/>
  <c r="P26" i="13"/>
  <c r="J26" i="13"/>
  <c r="P25" i="13"/>
  <c r="J25" i="13"/>
  <c r="P24" i="13"/>
  <c r="J24" i="13"/>
  <c r="P23" i="13"/>
  <c r="J23" i="13"/>
  <c r="P22" i="13"/>
  <c r="J22" i="13"/>
  <c r="P21" i="13"/>
  <c r="J21" i="13"/>
  <c r="P20" i="13"/>
  <c r="J20" i="13"/>
  <c r="P19" i="13"/>
  <c r="J19" i="13"/>
  <c r="P18" i="13"/>
  <c r="J18" i="13"/>
  <c r="P17" i="13"/>
  <c r="J17" i="13"/>
  <c r="P16" i="13"/>
  <c r="J16" i="13"/>
  <c r="P15" i="13"/>
  <c r="J15" i="13"/>
  <c r="P14" i="13"/>
  <c r="J14" i="13"/>
  <c r="P13" i="13"/>
  <c r="J13" i="13"/>
  <c r="P12" i="13"/>
  <c r="J12" i="13"/>
  <c r="P11" i="13"/>
  <c r="J11" i="13"/>
  <c r="P10" i="13"/>
  <c r="J10" i="13"/>
  <c r="P9" i="13"/>
  <c r="J9" i="13"/>
  <c r="P8" i="13"/>
  <c r="J8" i="13"/>
  <c r="P7" i="13"/>
  <c r="J7" i="13"/>
  <c r="P6" i="13"/>
  <c r="J6" i="13"/>
  <c r="P5" i="13"/>
  <c r="J5" i="13"/>
  <c r="P4" i="13"/>
  <c r="J4" i="13"/>
  <c r="J3" i="13"/>
  <c r="J2" i="13"/>
  <c r="L200" i="14" l="1"/>
  <c r="M200" i="14" s="1"/>
  <c r="L199" i="14"/>
  <c r="M199" i="14" s="1"/>
  <c r="L198" i="14"/>
  <c r="M198" i="14" s="1"/>
  <c r="L197" i="14"/>
  <c r="M197" i="14" s="1"/>
  <c r="L196" i="14"/>
  <c r="M196" i="14" s="1"/>
  <c r="L195" i="14"/>
  <c r="M195" i="14" s="1"/>
  <c r="L194" i="14"/>
  <c r="M194" i="14" s="1"/>
  <c r="L193" i="14"/>
  <c r="M193" i="14" s="1"/>
  <c r="L192" i="14"/>
  <c r="M192" i="14" s="1"/>
  <c r="L191" i="14"/>
  <c r="M191" i="14" s="1"/>
  <c r="L190" i="14"/>
  <c r="M190" i="14" s="1"/>
  <c r="L189" i="14"/>
  <c r="M189" i="14" s="1"/>
  <c r="L188" i="14"/>
  <c r="M188" i="14" s="1"/>
  <c r="L187" i="14"/>
  <c r="M187" i="14" s="1"/>
  <c r="L186" i="14"/>
  <c r="M186" i="14" s="1"/>
  <c r="L185" i="14"/>
  <c r="M185" i="14" s="1"/>
  <c r="L184" i="14"/>
  <c r="M184" i="14" s="1"/>
  <c r="L183" i="14"/>
  <c r="M183" i="14" s="1"/>
  <c r="L182" i="14"/>
  <c r="M182" i="14" s="1"/>
  <c r="L181" i="14"/>
  <c r="M181" i="14" s="1"/>
  <c r="L180" i="14"/>
  <c r="M180" i="14" s="1"/>
  <c r="L179" i="14"/>
  <c r="M179" i="14" s="1"/>
  <c r="L178" i="14"/>
  <c r="M178" i="14" s="1"/>
  <c r="L177" i="14"/>
  <c r="M177" i="14" s="1"/>
  <c r="L176" i="14"/>
  <c r="M176" i="14" s="1"/>
  <c r="L175" i="14"/>
  <c r="M175" i="14" s="1"/>
  <c r="L174" i="14"/>
  <c r="M174" i="14" s="1"/>
  <c r="L173" i="14"/>
  <c r="M173" i="14" s="1"/>
  <c r="L172" i="14"/>
  <c r="M172" i="14" s="1"/>
  <c r="L171" i="14"/>
  <c r="M171" i="14" s="1"/>
  <c r="L170" i="14"/>
  <c r="M170" i="14" s="1"/>
  <c r="L169" i="14"/>
  <c r="M169" i="14" s="1"/>
  <c r="L168" i="14"/>
  <c r="M168" i="14" s="1"/>
  <c r="L167" i="14"/>
  <c r="M167" i="14" s="1"/>
  <c r="L166" i="14"/>
  <c r="M166" i="14" s="1"/>
  <c r="L165" i="14"/>
  <c r="M165" i="14" s="1"/>
  <c r="L164" i="14"/>
  <c r="M164" i="14" s="1"/>
  <c r="L163" i="14"/>
  <c r="M163" i="14" s="1"/>
  <c r="L162" i="14"/>
  <c r="M162" i="14" s="1"/>
  <c r="L161" i="14"/>
  <c r="M161" i="14" s="1"/>
  <c r="L160" i="14"/>
  <c r="M160" i="14" s="1"/>
  <c r="L159" i="14"/>
  <c r="M159" i="14" s="1"/>
  <c r="L158" i="14"/>
  <c r="M158" i="14" s="1"/>
  <c r="L157" i="14"/>
  <c r="M157" i="14" s="1"/>
  <c r="L156" i="14"/>
  <c r="M156" i="14" s="1"/>
  <c r="L155" i="14"/>
  <c r="M155" i="14" s="1"/>
  <c r="L154" i="14"/>
  <c r="M154" i="14" s="1"/>
  <c r="L153" i="14"/>
  <c r="M153" i="14" s="1"/>
  <c r="L152" i="14"/>
  <c r="M152" i="14" s="1"/>
  <c r="L151" i="14"/>
  <c r="M151" i="14" s="1"/>
  <c r="L150" i="14"/>
  <c r="M150" i="14" s="1"/>
  <c r="L149" i="14"/>
  <c r="M149" i="14" s="1"/>
  <c r="L148" i="14"/>
  <c r="M148" i="14" s="1"/>
  <c r="L147" i="14"/>
  <c r="M147" i="14" s="1"/>
  <c r="L146" i="14"/>
  <c r="M146" i="14" s="1"/>
  <c r="L145" i="14"/>
  <c r="M145" i="14" s="1"/>
  <c r="L144" i="14"/>
  <c r="M144" i="14" s="1"/>
  <c r="L143" i="14"/>
  <c r="M143" i="14" s="1"/>
  <c r="L142" i="14"/>
  <c r="M142" i="14" s="1"/>
  <c r="L141" i="14"/>
  <c r="M141" i="14" s="1"/>
  <c r="L140" i="14"/>
  <c r="M140" i="14" s="1"/>
  <c r="L139" i="14"/>
  <c r="M139" i="14" s="1"/>
  <c r="L138" i="14"/>
  <c r="M138" i="14" s="1"/>
  <c r="L137" i="14"/>
  <c r="M137" i="14" s="1"/>
  <c r="L136" i="14"/>
  <c r="M136" i="14" s="1"/>
  <c r="L135" i="14"/>
  <c r="M135" i="14" s="1"/>
  <c r="L72" i="14"/>
  <c r="M72" i="14" s="1"/>
  <c r="N153" i="13"/>
  <c r="O152" i="13"/>
  <c r="N151" i="13"/>
  <c r="N150" i="13"/>
  <c r="N149" i="13"/>
  <c r="N148" i="13"/>
  <c r="N138" i="13"/>
  <c r="N137" i="13"/>
  <c r="N132" i="13"/>
  <c r="N128" i="13"/>
  <c r="N122" i="13"/>
  <c r="N74" i="13"/>
  <c r="N69" i="13"/>
  <c r="N62" i="13"/>
  <c r="N59" i="13"/>
  <c r="N56" i="13"/>
  <c r="N54" i="13"/>
  <c r="N51" i="13"/>
  <c r="N50" i="13"/>
  <c r="N41" i="13"/>
  <c r="N38" i="13"/>
  <c r="N28" i="13"/>
  <c r="N27" i="13"/>
  <c r="N26" i="13"/>
  <c r="N25" i="13"/>
  <c r="N22" i="13"/>
  <c r="N16" i="13"/>
  <c r="N15" i="13"/>
  <c r="N14" i="13"/>
  <c r="N11" i="13"/>
  <c r="N9" i="13"/>
  <c r="N8" i="13"/>
  <c r="L134" i="14"/>
  <c r="M134" i="14" s="1"/>
  <c r="L133" i="14"/>
  <c r="M133" i="14" s="1"/>
  <c r="L132" i="14"/>
  <c r="M132" i="14" s="1"/>
  <c r="L131" i="14"/>
  <c r="M131" i="14" s="1"/>
  <c r="L130" i="14"/>
  <c r="M130" i="14" s="1"/>
  <c r="L129" i="14"/>
  <c r="M129" i="14" s="1"/>
  <c r="L128" i="14"/>
  <c r="M128" i="14" s="1"/>
  <c r="L127" i="14"/>
  <c r="M127" i="14" s="1"/>
  <c r="L126" i="14"/>
  <c r="M126" i="14" s="1"/>
  <c r="L125" i="14"/>
  <c r="M125" i="14" s="1"/>
  <c r="L124" i="14"/>
  <c r="M124" i="14" s="1"/>
  <c r="L123" i="14"/>
  <c r="M123" i="14" s="1"/>
  <c r="L122" i="14"/>
  <c r="M122" i="14" s="1"/>
  <c r="L121" i="14"/>
  <c r="M121" i="14" s="1"/>
  <c r="L120" i="14"/>
  <c r="M120" i="14" s="1"/>
  <c r="L119" i="14"/>
  <c r="M119" i="14" s="1"/>
  <c r="L118" i="14"/>
  <c r="M118" i="14" s="1"/>
  <c r="L117" i="14"/>
  <c r="M117" i="14" s="1"/>
  <c r="L116" i="14"/>
  <c r="M116" i="14" s="1"/>
  <c r="L115" i="14"/>
  <c r="M115" i="14" s="1"/>
  <c r="L114" i="14"/>
  <c r="M114" i="14" s="1"/>
  <c r="L113" i="14"/>
  <c r="M113" i="14" s="1"/>
  <c r="L112" i="14"/>
  <c r="M112" i="14" s="1"/>
  <c r="L111" i="14"/>
  <c r="M111" i="14" s="1"/>
  <c r="L110" i="14"/>
  <c r="M110" i="14" s="1"/>
  <c r="L109" i="14"/>
  <c r="M109" i="14" s="1"/>
  <c r="L108" i="14"/>
  <c r="M108" i="14" s="1"/>
  <c r="L107" i="14"/>
  <c r="M107" i="14" s="1"/>
  <c r="L106" i="14"/>
  <c r="M106" i="14" s="1"/>
  <c r="L105" i="14"/>
  <c r="M105" i="14" s="1"/>
  <c r="L104" i="14"/>
  <c r="M104" i="14" s="1"/>
  <c r="L103" i="14"/>
  <c r="M103" i="14" s="1"/>
  <c r="L102" i="14"/>
  <c r="M102" i="14" s="1"/>
  <c r="L101" i="14"/>
  <c r="M101" i="14" s="1"/>
  <c r="L100" i="14"/>
  <c r="M100" i="14" s="1"/>
  <c r="L99" i="14"/>
  <c r="M99" i="14" s="1"/>
  <c r="L98" i="14"/>
  <c r="M98" i="14" s="1"/>
  <c r="L97" i="14"/>
  <c r="M97" i="14" s="1"/>
  <c r="L96" i="14"/>
  <c r="M96" i="14" s="1"/>
  <c r="L95" i="14"/>
  <c r="M95" i="14" s="1"/>
  <c r="L94" i="14"/>
  <c r="M94" i="14" s="1"/>
  <c r="L93" i="14"/>
  <c r="M93" i="14" s="1"/>
  <c r="L92" i="14"/>
  <c r="M92" i="14" s="1"/>
  <c r="L91" i="14"/>
  <c r="M91" i="14" s="1"/>
  <c r="L90" i="14"/>
  <c r="M90" i="14" s="1"/>
  <c r="L89" i="14"/>
  <c r="M89" i="14" s="1"/>
  <c r="L88" i="14"/>
  <c r="M88" i="14" s="1"/>
  <c r="L87" i="14"/>
  <c r="M87" i="14" s="1"/>
  <c r="L86" i="14"/>
  <c r="M86" i="14" s="1"/>
  <c r="L85" i="14"/>
  <c r="M85" i="14" s="1"/>
  <c r="L84" i="14"/>
  <c r="M84" i="14" s="1"/>
  <c r="L83" i="14"/>
  <c r="M83" i="14" s="1"/>
  <c r="L82" i="14"/>
  <c r="M82" i="14" s="1"/>
  <c r="L81" i="14"/>
  <c r="M81" i="14" s="1"/>
  <c r="L80" i="14"/>
  <c r="M80" i="14" s="1"/>
  <c r="L79" i="14"/>
  <c r="M79" i="14" s="1"/>
  <c r="L78" i="14"/>
  <c r="M78" i="14" s="1"/>
  <c r="L77" i="14"/>
  <c r="M77" i="14" s="1"/>
  <c r="L76" i="14"/>
  <c r="M76" i="14" s="1"/>
  <c r="L75" i="14"/>
  <c r="M75" i="14" s="1"/>
  <c r="L74" i="14"/>
  <c r="M74" i="14" s="1"/>
  <c r="L73" i="14"/>
  <c r="M73" i="14" s="1"/>
  <c r="L71" i="14"/>
  <c r="M71" i="14" s="1"/>
  <c r="L70" i="14"/>
  <c r="M70" i="14" s="1"/>
  <c r="L69" i="14"/>
  <c r="M69" i="14" s="1"/>
  <c r="M68" i="14"/>
  <c r="L2" i="14"/>
  <c r="M2" i="14" s="1"/>
  <c r="N174" i="13"/>
  <c r="N172" i="13"/>
  <c r="N170" i="13"/>
  <c r="N168" i="13"/>
  <c r="N166" i="13"/>
  <c r="N161" i="13"/>
  <c r="N160" i="13"/>
  <c r="N156" i="13"/>
  <c r="N154" i="13"/>
  <c r="N145" i="13"/>
  <c r="N142" i="13"/>
  <c r="N141" i="13"/>
  <c r="N139" i="13"/>
  <c r="N131" i="13"/>
  <c r="N130" i="13"/>
  <c r="N123" i="13"/>
  <c r="N68" i="13"/>
  <c r="N66" i="13"/>
  <c r="N63" i="13"/>
  <c r="N60" i="13"/>
  <c r="N49" i="13"/>
  <c r="N48" i="13"/>
  <c r="N47" i="13"/>
  <c r="N43" i="13"/>
  <c r="N42" i="13"/>
  <c r="N40" i="13"/>
  <c r="N37" i="13"/>
  <c r="N30" i="13"/>
  <c r="N24" i="13"/>
  <c r="N23" i="13"/>
  <c r="N20" i="13"/>
  <c r="N19" i="13"/>
  <c r="N18" i="13"/>
  <c r="N13" i="13"/>
  <c r="N12" i="13"/>
  <c r="N7" i="13"/>
  <c r="N6" i="13"/>
  <c r="N5" i="13"/>
  <c r="N2" i="13"/>
  <c r="L67" i="14"/>
  <c r="M67" i="14" s="1"/>
  <c r="L66" i="14"/>
  <c r="M66" i="14" s="1"/>
  <c r="L65" i="14"/>
  <c r="M65" i="14" s="1"/>
  <c r="L64" i="14"/>
  <c r="M64" i="14" s="1"/>
  <c r="L63" i="14"/>
  <c r="M63" i="14" s="1"/>
  <c r="L62" i="14"/>
  <c r="M62" i="14" s="1"/>
  <c r="L61" i="14"/>
  <c r="M61" i="14" s="1"/>
  <c r="L60" i="14"/>
  <c r="M60" i="14" s="1"/>
  <c r="L59" i="14"/>
  <c r="M59" i="14" s="1"/>
  <c r="L58" i="14"/>
  <c r="M58" i="14" s="1"/>
  <c r="L57" i="14"/>
  <c r="M57" i="14" s="1"/>
  <c r="L56" i="14"/>
  <c r="M56" i="14" s="1"/>
  <c r="L55" i="14"/>
  <c r="M55" i="14" s="1"/>
  <c r="L54" i="14"/>
  <c r="M54" i="14" s="1"/>
  <c r="L53" i="14"/>
  <c r="M53" i="14" s="1"/>
  <c r="L52" i="14"/>
  <c r="M52" i="14" s="1"/>
  <c r="L51" i="14"/>
  <c r="M51" i="14" s="1"/>
  <c r="L50" i="14"/>
  <c r="M50" i="14" s="1"/>
  <c r="L49" i="14"/>
  <c r="M49" i="14" s="1"/>
  <c r="L48" i="14"/>
  <c r="M48" i="14" s="1"/>
  <c r="L47" i="14"/>
  <c r="M47" i="14" s="1"/>
  <c r="L46" i="14"/>
  <c r="M46" i="14" s="1"/>
  <c r="L45" i="14"/>
  <c r="M45" i="14" s="1"/>
  <c r="L44" i="14"/>
  <c r="M44" i="14" s="1"/>
  <c r="L43" i="14"/>
  <c r="M43" i="14" s="1"/>
  <c r="L42" i="14"/>
  <c r="M42" i="14" s="1"/>
  <c r="L41" i="14"/>
  <c r="M41" i="14" s="1"/>
  <c r="L40" i="14"/>
  <c r="M40" i="14" s="1"/>
  <c r="L39" i="14"/>
  <c r="M39" i="14" s="1"/>
  <c r="L38" i="14"/>
  <c r="M38" i="14" s="1"/>
  <c r="L37" i="14"/>
  <c r="M37" i="14" s="1"/>
  <c r="L36" i="14"/>
  <c r="M36" i="14" s="1"/>
  <c r="L35" i="14"/>
  <c r="M35" i="14" s="1"/>
  <c r="L34" i="14"/>
  <c r="M34" i="14" s="1"/>
  <c r="L33" i="14"/>
  <c r="M33" i="14" s="1"/>
  <c r="L32" i="14"/>
  <c r="M32" i="14" s="1"/>
  <c r="L31" i="14"/>
  <c r="M31" i="14" s="1"/>
  <c r="L30" i="14"/>
  <c r="M30" i="14" s="1"/>
  <c r="L29" i="14"/>
  <c r="M29" i="14" s="1"/>
  <c r="L28" i="14"/>
  <c r="M28" i="14" s="1"/>
  <c r="L27" i="14"/>
  <c r="M27" i="14" s="1"/>
  <c r="L26" i="14"/>
  <c r="M26" i="14" s="1"/>
  <c r="L25" i="14"/>
  <c r="M25" i="14" s="1"/>
  <c r="L24" i="14"/>
  <c r="M24" i="14" s="1"/>
  <c r="L23" i="14"/>
  <c r="M23" i="14" s="1"/>
  <c r="L22" i="14"/>
  <c r="M22" i="14" s="1"/>
  <c r="L21" i="14"/>
  <c r="M21" i="14" s="1"/>
  <c r="L20" i="14"/>
  <c r="M20" i="14" s="1"/>
  <c r="L19" i="14"/>
  <c r="M19" i="14" s="1"/>
  <c r="L18" i="14"/>
  <c r="M18" i="14" s="1"/>
  <c r="L17" i="14"/>
  <c r="M17" i="14" s="1"/>
  <c r="L16" i="14"/>
  <c r="M16" i="14" s="1"/>
  <c r="L15" i="14"/>
  <c r="M15" i="14" s="1"/>
  <c r="L14" i="14"/>
  <c r="M14" i="14" s="1"/>
  <c r="L13" i="14"/>
  <c r="M13" i="14" s="1"/>
  <c r="L12" i="14"/>
  <c r="M12" i="14" s="1"/>
  <c r="L11" i="14"/>
  <c r="M11" i="14" s="1"/>
  <c r="L10" i="14"/>
  <c r="M10" i="14" s="1"/>
  <c r="L9" i="14"/>
  <c r="M9" i="14" s="1"/>
  <c r="L8" i="14"/>
  <c r="M8" i="14" s="1"/>
  <c r="L7" i="14"/>
  <c r="M7" i="14" s="1"/>
  <c r="L6" i="14"/>
  <c r="M6" i="14" s="1"/>
  <c r="L5" i="14"/>
  <c r="M5" i="14" s="1"/>
  <c r="L4" i="14"/>
  <c r="M4" i="14" s="1"/>
  <c r="L3" i="14"/>
  <c r="M3" i="14" s="1"/>
  <c r="N178" i="13"/>
  <c r="N175" i="13"/>
  <c r="N171" i="13"/>
  <c r="N169" i="13"/>
  <c r="N167" i="13"/>
  <c r="N165" i="13"/>
  <c r="N163" i="13"/>
  <c r="N159" i="13"/>
  <c r="N158" i="13"/>
  <c r="N147" i="13"/>
  <c r="N146" i="13"/>
  <c r="N144" i="13"/>
  <c r="N143" i="13"/>
  <c r="N140" i="13"/>
  <c r="N136" i="13"/>
  <c r="N135" i="13"/>
  <c r="N134" i="13"/>
  <c r="N133" i="13"/>
  <c r="N129" i="13"/>
  <c r="N127" i="13"/>
  <c r="N126" i="13"/>
  <c r="N125" i="13"/>
  <c r="N124" i="13"/>
  <c r="N70" i="13"/>
  <c r="N67" i="13"/>
  <c r="N61" i="13"/>
  <c r="N57" i="13"/>
  <c r="N53" i="13"/>
  <c r="N46" i="13"/>
  <c r="N45" i="13"/>
  <c r="N36" i="13"/>
  <c r="N35" i="13"/>
  <c r="N31" i="13"/>
  <c r="N29" i="13"/>
  <c r="N21" i="13"/>
  <c r="N17" i="13"/>
  <c r="N10" i="13"/>
  <c r="N3" i="13"/>
  <c r="P2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7" i="13"/>
  <c r="N176" i="13"/>
  <c r="N173" i="13"/>
  <c r="N164" i="13"/>
  <c r="N162" i="13"/>
  <c r="N157" i="13"/>
  <c r="N155" i="13"/>
  <c r="Q152" i="13"/>
  <c r="N4" i="13"/>
  <c r="P3" i="13"/>
  <c r="N121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0" i="13"/>
  <c r="N79" i="13"/>
  <c r="N78" i="13"/>
  <c r="N77" i="13"/>
  <c r="N76" i="13"/>
  <c r="N75" i="13"/>
  <c r="N73" i="13"/>
  <c r="N72" i="13"/>
  <c r="N71" i="13"/>
  <c r="N65" i="13"/>
  <c r="N64" i="13"/>
  <c r="N58" i="13"/>
  <c r="N55" i="13"/>
  <c r="N52" i="13"/>
  <c r="N44" i="13"/>
  <c r="N39" i="13"/>
  <c r="N34" i="13"/>
  <c r="N33" i="13"/>
  <c r="N32" i="13"/>
  <c r="N81" i="13"/>
  <c r="O153" i="13" l="1"/>
  <c r="Q153" i="13"/>
  <c r="Q151" i="13"/>
  <c r="O151" i="13"/>
  <c r="Q150" i="13"/>
  <c r="O150" i="13"/>
  <c r="Q149" i="13"/>
  <c r="O149" i="13"/>
  <c r="Q148" i="13"/>
  <c r="O148" i="13"/>
  <c r="O138" i="13"/>
  <c r="Q138" i="13"/>
  <c r="O137" i="13"/>
  <c r="Q137" i="13"/>
  <c r="Q132" i="13"/>
  <c r="O132" i="13"/>
  <c r="O128" i="13"/>
  <c r="Q128" i="13"/>
  <c r="O122" i="13"/>
  <c r="Q122" i="13"/>
  <c r="Q74" i="13"/>
  <c r="O74" i="13"/>
  <c r="Q69" i="13"/>
  <c r="O69" i="13"/>
  <c r="O62" i="13"/>
  <c r="Q62" i="13"/>
  <c r="Q59" i="13"/>
  <c r="O59" i="13"/>
  <c r="Q56" i="13"/>
  <c r="O56" i="13"/>
  <c r="Q54" i="13"/>
  <c r="O54" i="13"/>
  <c r="Q51" i="13"/>
  <c r="O51" i="13"/>
  <c r="Q50" i="13"/>
  <c r="O50" i="13"/>
  <c r="O41" i="13"/>
  <c r="Q41" i="13"/>
  <c r="Q38" i="13"/>
  <c r="O38" i="13"/>
  <c r="O28" i="13"/>
  <c r="Q28" i="13"/>
  <c r="O27" i="13"/>
  <c r="Q27" i="13"/>
  <c r="Q26" i="13"/>
  <c r="O26" i="13"/>
  <c r="Q25" i="13"/>
  <c r="O25" i="13"/>
  <c r="Q22" i="13"/>
  <c r="O22" i="13"/>
  <c r="Q16" i="13"/>
  <c r="O16" i="13"/>
  <c r="Q15" i="13"/>
  <c r="O15" i="13"/>
  <c r="Q14" i="13"/>
  <c r="O14" i="13"/>
  <c r="O11" i="13"/>
  <c r="Q11" i="13"/>
  <c r="O9" i="13"/>
  <c r="Q9" i="13"/>
  <c r="Q8" i="13"/>
  <c r="O8" i="13"/>
  <c r="O174" i="13"/>
  <c r="Q174" i="13"/>
  <c r="O172" i="13"/>
  <c r="Q172" i="13"/>
  <c r="O170" i="13"/>
  <c r="Q170" i="13"/>
  <c r="O168" i="13"/>
  <c r="Q168" i="13"/>
  <c r="Q166" i="13"/>
  <c r="O166" i="13"/>
  <c r="Q161" i="13"/>
  <c r="O161" i="13"/>
  <c r="Q160" i="13"/>
  <c r="O160" i="13"/>
  <c r="Q156" i="13"/>
  <c r="O156" i="13"/>
  <c r="O154" i="13"/>
  <c r="Q154" i="13"/>
  <c r="O145" i="13"/>
  <c r="Q145" i="13"/>
  <c r="O142" i="13"/>
  <c r="Q142" i="13"/>
  <c r="Q141" i="13"/>
  <c r="O141" i="13"/>
  <c r="Q139" i="13"/>
  <c r="O139" i="13"/>
  <c r="O131" i="13"/>
  <c r="Q131" i="13"/>
  <c r="Q130" i="13"/>
  <c r="O130" i="13"/>
  <c r="O123" i="13"/>
  <c r="Q123" i="13"/>
  <c r="Q68" i="13"/>
  <c r="O68" i="13"/>
  <c r="O66" i="13"/>
  <c r="Q66" i="13"/>
  <c r="Q63" i="13"/>
  <c r="O63" i="13"/>
  <c r="O60" i="13"/>
  <c r="Q60" i="13"/>
  <c r="O49" i="13"/>
  <c r="Q49" i="13"/>
  <c r="O48" i="13"/>
  <c r="Q48" i="13"/>
  <c r="Q47" i="13"/>
  <c r="O47" i="13"/>
  <c r="O43" i="13"/>
  <c r="Q43" i="13"/>
  <c r="O42" i="13"/>
  <c r="Q42" i="13"/>
  <c r="Q40" i="13"/>
  <c r="O40" i="13"/>
  <c r="Q37" i="13"/>
  <c r="O37" i="13"/>
  <c r="O30" i="13"/>
  <c r="Q30" i="13"/>
  <c r="O24" i="13"/>
  <c r="Q24" i="13"/>
  <c r="O23" i="13"/>
  <c r="Q23" i="13"/>
  <c r="O20" i="13"/>
  <c r="Q20" i="13"/>
  <c r="O19" i="13"/>
  <c r="Q19" i="13"/>
  <c r="Q18" i="13"/>
  <c r="O18" i="13"/>
  <c r="O13" i="13"/>
  <c r="Q13" i="13"/>
  <c r="O12" i="13"/>
  <c r="Q12" i="13"/>
  <c r="O7" i="13"/>
  <c r="Q7" i="13"/>
  <c r="O6" i="13"/>
  <c r="Q6" i="13"/>
  <c r="O5" i="13"/>
  <c r="O2" i="13"/>
  <c r="Q2" i="13"/>
  <c r="O178" i="13"/>
  <c r="Q178" i="13"/>
  <c r="O175" i="13"/>
  <c r="Q175" i="13"/>
  <c r="O171" i="13"/>
  <c r="Q171" i="13"/>
  <c r="O169" i="13"/>
  <c r="Q169" i="13"/>
  <c r="O167" i="13"/>
  <c r="Q167" i="13"/>
  <c r="O165" i="13"/>
  <c r="Q165" i="13"/>
  <c r="Q163" i="13"/>
  <c r="O163" i="13"/>
  <c r="O159" i="13"/>
  <c r="Q159" i="13"/>
  <c r="Q158" i="13"/>
  <c r="O158" i="13"/>
  <c r="O147" i="13"/>
  <c r="Q147" i="13"/>
  <c r="O146" i="13"/>
  <c r="Q146" i="13"/>
  <c r="O144" i="13"/>
  <c r="Q144" i="13"/>
  <c r="O143" i="13"/>
  <c r="Q143" i="13"/>
  <c r="Q140" i="13"/>
  <c r="O140" i="13"/>
  <c r="O136" i="13"/>
  <c r="Q136" i="13"/>
  <c r="O135" i="13"/>
  <c r="Q135" i="13"/>
  <c r="O134" i="13"/>
  <c r="Q134" i="13"/>
  <c r="O133" i="13"/>
  <c r="Q133" i="13"/>
  <c r="Q129" i="13"/>
  <c r="O129" i="13"/>
  <c r="O127" i="13"/>
  <c r="Q127" i="13"/>
  <c r="Q126" i="13"/>
  <c r="O126" i="13"/>
  <c r="Q125" i="13"/>
  <c r="O125" i="13"/>
  <c r="O124" i="13"/>
  <c r="Q124" i="13"/>
  <c r="O70" i="13"/>
  <c r="Q70" i="13"/>
  <c r="O67" i="13"/>
  <c r="Q67" i="13"/>
  <c r="O61" i="13"/>
  <c r="Q61" i="13"/>
  <c r="Q57" i="13"/>
  <c r="O57" i="13"/>
  <c r="O53" i="13"/>
  <c r="Q53" i="13"/>
  <c r="Q46" i="13"/>
  <c r="O46" i="13"/>
  <c r="Q45" i="13"/>
  <c r="O45" i="13"/>
  <c r="Q36" i="13"/>
  <c r="O36" i="13"/>
  <c r="Q35" i="13"/>
  <c r="O35" i="13"/>
  <c r="O31" i="13"/>
  <c r="Q31" i="13"/>
  <c r="Q29" i="13"/>
  <c r="O29" i="13"/>
  <c r="O21" i="13"/>
  <c r="Q21" i="13"/>
  <c r="O17" i="13"/>
  <c r="Q17" i="13"/>
  <c r="Q10" i="13"/>
  <c r="O10" i="13"/>
  <c r="O3" i="13"/>
  <c r="O200" i="13"/>
  <c r="Q200" i="13"/>
  <c r="O199" i="13"/>
  <c r="Q199" i="13"/>
  <c r="O198" i="13"/>
  <c r="Q198" i="13"/>
  <c r="O197" i="13"/>
  <c r="Q197" i="13"/>
  <c r="O196" i="13"/>
  <c r="Q196" i="13"/>
  <c r="O195" i="13"/>
  <c r="Q195" i="13"/>
  <c r="O194" i="13"/>
  <c r="Q194" i="13"/>
  <c r="O193" i="13"/>
  <c r="Q193" i="13"/>
  <c r="O192" i="13"/>
  <c r="Q192" i="13"/>
  <c r="O191" i="13"/>
  <c r="Q191" i="13"/>
  <c r="O190" i="13"/>
  <c r="Q190" i="13"/>
  <c r="O189" i="13"/>
  <c r="Q189" i="13"/>
  <c r="O188" i="13"/>
  <c r="Q188" i="13"/>
  <c r="O187" i="13"/>
  <c r="Q187" i="13"/>
  <c r="O186" i="13"/>
  <c r="Q186" i="13"/>
  <c r="O185" i="13"/>
  <c r="Q185" i="13"/>
  <c r="O184" i="13"/>
  <c r="Q184" i="13"/>
  <c r="O183" i="13"/>
  <c r="Q183" i="13"/>
  <c r="O182" i="13"/>
  <c r="Q182" i="13"/>
  <c r="O181" i="13"/>
  <c r="Q181" i="13"/>
  <c r="O180" i="13"/>
  <c r="Q180" i="13"/>
  <c r="O179" i="13"/>
  <c r="Q179" i="13"/>
  <c r="Q177" i="13"/>
  <c r="O177" i="13"/>
  <c r="O176" i="13"/>
  <c r="Q176" i="13"/>
  <c r="O173" i="13"/>
  <c r="Q173" i="13"/>
  <c r="O164" i="13"/>
  <c r="Q164" i="13"/>
  <c r="O162" i="13"/>
  <c r="Q162" i="13"/>
  <c r="O157" i="13"/>
  <c r="Q157" i="13"/>
  <c r="O155" i="13"/>
  <c r="Q155" i="13"/>
  <c r="O4" i="13"/>
  <c r="Q121" i="13"/>
  <c r="O121" i="13"/>
  <c r="O120" i="13"/>
  <c r="Q120" i="13"/>
  <c r="O119" i="13"/>
  <c r="Q119" i="13"/>
  <c r="O118" i="13"/>
  <c r="Q118" i="13"/>
  <c r="O117" i="13"/>
  <c r="Q117" i="13"/>
  <c r="O116" i="13"/>
  <c r="Q116" i="13"/>
  <c r="O115" i="13"/>
  <c r="Q115" i="13"/>
  <c r="O114" i="13"/>
  <c r="Q114" i="13"/>
  <c r="O113" i="13"/>
  <c r="Q113" i="13"/>
  <c r="O112" i="13"/>
  <c r="Q112" i="13"/>
  <c r="O111" i="13"/>
  <c r="Q111" i="13"/>
  <c r="O110" i="13"/>
  <c r="Q110" i="13"/>
  <c r="O109" i="13"/>
  <c r="Q109" i="13"/>
  <c r="O108" i="13"/>
  <c r="Q108" i="13"/>
  <c r="O107" i="13"/>
  <c r="Q107" i="13"/>
  <c r="O106" i="13"/>
  <c r="Q106" i="13"/>
  <c r="O105" i="13"/>
  <c r="Q105" i="13"/>
  <c r="O104" i="13"/>
  <c r="Q104" i="13"/>
  <c r="O103" i="13"/>
  <c r="Q103" i="13"/>
  <c r="O102" i="13"/>
  <c r="Q102" i="13"/>
  <c r="O101" i="13"/>
  <c r="Q101" i="13"/>
  <c r="O100" i="13"/>
  <c r="Q100" i="13"/>
  <c r="O99" i="13"/>
  <c r="Q99" i="13"/>
  <c r="O98" i="13"/>
  <c r="Q98" i="13"/>
  <c r="O97" i="13"/>
  <c r="Q97" i="13"/>
  <c r="O96" i="13"/>
  <c r="Q96" i="13"/>
  <c r="O95" i="13"/>
  <c r="Q95" i="13"/>
  <c r="O94" i="13"/>
  <c r="Q94" i="13"/>
  <c r="O93" i="13"/>
  <c r="Q93" i="13"/>
  <c r="O92" i="13"/>
  <c r="Q92" i="13"/>
  <c r="O91" i="13"/>
  <c r="Q91" i="13"/>
  <c r="O90" i="13"/>
  <c r="Q90" i="13"/>
  <c r="O89" i="13"/>
  <c r="Q89" i="13"/>
  <c r="O88" i="13"/>
  <c r="Q88" i="13"/>
  <c r="O87" i="13"/>
  <c r="Q87" i="13"/>
  <c r="O86" i="13"/>
  <c r="Q86" i="13"/>
  <c r="O85" i="13"/>
  <c r="Q85" i="13"/>
  <c r="O84" i="13"/>
  <c r="Q84" i="13"/>
  <c r="O83" i="13"/>
  <c r="Q83" i="13"/>
  <c r="O82" i="13"/>
  <c r="Q82" i="13"/>
  <c r="O80" i="13"/>
  <c r="Q80" i="13"/>
  <c r="O79" i="13"/>
  <c r="Q79" i="13"/>
  <c r="O78" i="13"/>
  <c r="Q78" i="13"/>
  <c r="O77" i="13"/>
  <c r="Q77" i="13"/>
  <c r="O76" i="13"/>
  <c r="Q76" i="13"/>
  <c r="O75" i="13"/>
  <c r="Q75" i="13"/>
  <c r="O73" i="13"/>
  <c r="Q73" i="13"/>
  <c r="Q72" i="13"/>
  <c r="O72" i="13"/>
  <c r="Q71" i="13"/>
  <c r="O71" i="13"/>
  <c r="O65" i="13"/>
  <c r="Q65" i="13"/>
  <c r="O64" i="13"/>
  <c r="Q64" i="13"/>
  <c r="O58" i="13"/>
  <c r="Q58" i="13"/>
  <c r="O55" i="13"/>
  <c r="Q55" i="13"/>
  <c r="Q52" i="13"/>
  <c r="O52" i="13"/>
  <c r="O44" i="13"/>
  <c r="Q44" i="13"/>
  <c r="Q39" i="13"/>
  <c r="O39" i="13"/>
  <c r="Q34" i="13"/>
  <c r="O34" i="13"/>
  <c r="O33" i="13"/>
  <c r="Q33" i="13"/>
  <c r="O32" i="13"/>
  <c r="Q32" i="13"/>
  <c r="O81" i="13"/>
  <c r="Q81" i="13"/>
  <c r="Q3" i="13" l="1"/>
  <c r="Q4" i="13"/>
  <c r="Q5" i="13"/>
</calcChain>
</file>

<file path=xl/sharedStrings.xml><?xml version="1.0" encoding="utf-8"?>
<sst xmlns="http://schemas.openxmlformats.org/spreadsheetml/2006/main" count="2324" uniqueCount="1100">
  <si>
    <t>SEVENTH SKY PROPERTY CARE - RESIDENTIAL RENTAL &amp; TENANCY MANAGEMENT CRM WORKFLOW V2.0</t>
  </si>
  <si>
    <t>Purpose</t>
  </si>
  <si>
    <t>Detailed Excel workflow and checklist template for owner-side rental management and tenant-side tenancy management, including rent collection, owner disbursement, arrears, bond, inspections, maintenance and CRM reporting.</t>
  </si>
  <si>
    <t>Quick KPI Block</t>
  </si>
  <si>
    <t>Based On</t>
  </si>
  <si>
    <t>Residential Property Rental Management Service Agreement V0.1 and Residential Property Tenancy Management Service Agreement V0.1.</t>
  </si>
  <si>
    <t>Metric</t>
  </si>
  <si>
    <t>Formula / Source</t>
  </si>
  <si>
    <t>Owner Journey</t>
  </si>
  <si>
    <t>Owner enquiry → Owner onboarding → Property setup → Rental assessment → Marketing → Tenant screening → Lease setup → Rent collection → Management fee/expense deductions → Owner disbursement → inspections/maintenance → renewal/termination → closure.</t>
  </si>
  <si>
    <t>Total Rent Collected</t>
  </si>
  <si>
    <t>Rent Collection Register</t>
  </si>
  <si>
    <t>Tenant Journey</t>
  </si>
  <si>
    <t>Tenant enquiry → Application → Verification → Approval → Lease signing → Advance rent/security deposit → move-in/entry inspection → monthly rent payment → maintenance/inspections → renewal/vacancy notice → exit inspection/bond adjustment.</t>
  </si>
  <si>
    <t>Total Arrears</t>
  </si>
  <si>
    <t>Rent Collection Logic</t>
  </si>
  <si>
    <t>Rent due → reminder → receipt → ledger update → arrears calculation → fee/expense deductions → owner statement → owner disbursement → reconciliation.</t>
  </si>
  <si>
    <t>Total Net Disbursement</t>
  </si>
  <si>
    <t>Owner Disbursement Register</t>
  </si>
  <si>
    <t>Core Controls</t>
  </si>
  <si>
    <t>No tenancy activation without signed agreement, tenant KYC, advance rent, security deposit, entry inspection and owner approval. No owner disbursement without receipt, deduction check and statement preparation.</t>
  </si>
  <si>
    <t>Open Maintenance</t>
  </si>
  <si>
    <t>Maintenance Register</t>
  </si>
  <si>
    <t>CRM Automation</t>
  </si>
  <si>
    <t>Auto IDs, rent due reminders, arrears alerts, owner statement generation, disbursement approval, bond adjustment tracker, inspection schedules, maintenance approvals and KPI dashboard.</t>
  </si>
  <si>
    <t>Pending Verifications</t>
  </si>
  <si>
    <t>Tenant Verification Checklist</t>
  </si>
  <si>
    <t>Risk Controls</t>
  </si>
  <si>
    <t>Tenant damage, late rent, owner tax responsibility, third-party expense approvals, tenant false information, subletting/additional occupants, non-circumvention and termination controls.</t>
  </si>
  <si>
    <t>Upcoming Inspections</t>
  </si>
  <si>
    <t>Inspection Register</t>
  </si>
  <si>
    <t>Suggested Management Fee</t>
  </si>
  <si>
    <t>5% of monthly rent collection unless otherwise agreed in writing.</t>
  </si>
  <si>
    <t>Active Tenancies</t>
  </si>
  <si>
    <t>Tenancy/Lease Register</t>
  </si>
  <si>
    <t>Inspection Standard</t>
  </si>
  <si>
    <t>Entry inspection, routine inspection every 6 months, exit inspection, inspection report and photo documentation.</t>
  </si>
  <si>
    <t>Open Risks</t>
  </si>
  <si>
    <t>Risk Register</t>
  </si>
  <si>
    <t>Maintenance Standard</t>
  </si>
  <si>
    <t>First general maintenance coordination request per month included; materials, labour, transport, contractor and supplier costs remain payable by owner.</t>
  </si>
  <si>
    <t>Workbook Version</t>
  </si>
  <si>
    <t>V2.0 - detailed populated version</t>
  </si>
  <si>
    <t>Prepared For</t>
  </si>
  <si>
    <t>Seventh Sky Residential Property Rental Management and Tenancy Management</t>
  </si>
  <si>
    <t>Brand Principle</t>
  </si>
  <si>
    <t>Built on Trust, Driven by Care</t>
  </si>
  <si>
    <t>Dashboard Inputs</t>
  </si>
  <si>
    <t>Use Rent Collection Register, Owner Disbursement Register, Arrears Tracker, Inspection Register, Maintenance Register and KPI Dashboard Data.</t>
  </si>
  <si>
    <t>Evidence Requirement</t>
  </si>
  <si>
    <t>CRM records, email, WhatsApp, SMS, call logs, receipts, inspection photos/videos, invoices and signed documents should be retained as evidence.</t>
  </si>
  <si>
    <t>Status</t>
  </si>
  <si>
    <t>Ready for operational use and CRM conversion.</t>
  </si>
  <si>
    <t>List Type</t>
  </si>
  <si>
    <t>Value</t>
  </si>
  <si>
    <t>Use In Sheet</t>
  </si>
  <si>
    <t>Notes</t>
  </si>
  <si>
    <t>Lead Status</t>
  </si>
  <si>
    <t>New Owner Lead</t>
  </si>
  <si>
    <t>Owner Master Register</t>
  </si>
  <si>
    <t>New owner/landlord enquiry</t>
  </si>
  <si>
    <t>Owner Contacted</t>
  </si>
  <si>
    <t>Owner contacted</t>
  </si>
  <si>
    <t>Property Setup</t>
  </si>
  <si>
    <t>Property Master Register</t>
  </si>
  <si>
    <t>Property profile being prepared</t>
  </si>
  <si>
    <t>Marketing Active</t>
  </si>
  <si>
    <t>Marketing Tracker</t>
  </si>
  <si>
    <t>Rental listing and tenant sourcing active</t>
  </si>
  <si>
    <t>Tenant Screening</t>
  </si>
  <si>
    <t>Tenant Application Register</t>
  </si>
  <si>
    <t>Applications being assessed</t>
  </si>
  <si>
    <t>Lease Drafting</t>
  </si>
  <si>
    <t>Lease Register</t>
  </si>
  <si>
    <t>Lease/tenancy agreement being prepared</t>
  </si>
  <si>
    <t>Tenancy Active</t>
  </si>
  <si>
    <t>Tenancy Master Register</t>
  </si>
  <si>
    <t>Tenant has moved in or tenancy commenced</t>
  </si>
  <si>
    <t>Rent Collection Active</t>
  </si>
  <si>
    <t>Monthly rent cycle active</t>
  </si>
  <si>
    <t>Renewal Stage</t>
  </si>
  <si>
    <t>Renewal Register</t>
  </si>
  <si>
    <t>Lease renewal being considered</t>
  </si>
  <si>
    <t>Exit Stage</t>
  </si>
  <si>
    <t>Exit &amp; Bond Register</t>
  </si>
  <si>
    <t>Vacancy/exit process active</t>
  </si>
  <si>
    <t>Closed</t>
  </si>
  <si>
    <t>Closure Register</t>
  </si>
  <si>
    <t>Tenancy/property management file closed</t>
  </si>
  <si>
    <t>Payment Status</t>
  </si>
  <si>
    <t>Not Due</t>
  </si>
  <si>
    <t>Rent due date not reached</t>
  </si>
  <si>
    <t>Unpaid</t>
  </si>
  <si>
    <t>Rent not yet paid</t>
  </si>
  <si>
    <t>Partial</t>
  </si>
  <si>
    <t>Part payment received</t>
  </si>
  <si>
    <t>Paid</t>
  </si>
  <si>
    <t>Full payment received</t>
  </si>
  <si>
    <t>Overpaid</t>
  </si>
  <si>
    <t>Received more than due</t>
  </si>
  <si>
    <t>Arrears Status</t>
  </si>
  <si>
    <t>Current</t>
  </si>
  <si>
    <t>Arrears Tracker</t>
  </si>
  <si>
    <t>No outstanding arrears</t>
  </si>
  <si>
    <t>1-7 Days Overdue</t>
  </si>
  <si>
    <t>First reminder stage</t>
  </si>
  <si>
    <t>8-14 Days Overdue</t>
  </si>
  <si>
    <t>Second reminder / warning</t>
  </si>
  <si>
    <t>15+ Days Overdue</t>
  </si>
  <si>
    <t>Escalation stage</t>
  </si>
  <si>
    <t>Legal / Termination Review</t>
  </si>
  <si>
    <t>Serious breach / recovery consideration</t>
  </si>
  <si>
    <t>Lease Status</t>
  </si>
  <si>
    <t>Draft</t>
  </si>
  <si>
    <t>Agreement drafting</t>
  </si>
  <si>
    <t>Sent for Signature</t>
  </si>
  <si>
    <t>Agreement issued</t>
  </si>
  <si>
    <t>Signed</t>
  </si>
  <si>
    <t>Signed by tenant and authorised representative</t>
  </si>
  <si>
    <t>Active</t>
  </si>
  <si>
    <t>Tenancy active</t>
  </si>
  <si>
    <t>Expired</t>
  </si>
  <si>
    <t>Lease ended</t>
  </si>
  <si>
    <t>Terminated</t>
  </si>
  <si>
    <t>Termination Register</t>
  </si>
  <si>
    <t>Agreement terminated</t>
  </si>
  <si>
    <t>Inspection Type</t>
  </si>
  <si>
    <t>Entry Inspection</t>
  </si>
  <si>
    <t>Before move-in</t>
  </si>
  <si>
    <t>Routine Inspection</t>
  </si>
  <si>
    <t>During tenancy</t>
  </si>
  <si>
    <t>Exit Inspection</t>
  </si>
  <si>
    <t>Before bond refund</t>
  </si>
  <si>
    <t>Maintenance Type</t>
  </si>
  <si>
    <t>General Repair</t>
  </si>
  <si>
    <t>Included first monthly coordination request</t>
  </si>
  <si>
    <t>Premium Maintenance</t>
  </si>
  <si>
    <t>Additional admin fee applies</t>
  </si>
  <si>
    <t>Emergency Repair</t>
  </si>
  <si>
    <t>Urgent property protection/tenant safety</t>
  </si>
  <si>
    <t>Decision</t>
  </si>
  <si>
    <t>Approve</t>
  </si>
  <si>
    <t>Approval Register</t>
  </si>
  <si>
    <t>Proceed</t>
  </si>
  <si>
    <t>Hold</t>
  </si>
  <si>
    <t>Pause</t>
  </si>
  <si>
    <t>Reject</t>
  </si>
  <si>
    <t>Do not proceed</t>
  </si>
  <si>
    <t>Priority</t>
  </si>
  <si>
    <t>Low</t>
  </si>
  <si>
    <t>Tasks/Risks</t>
  </si>
  <si>
    <t>Routine</t>
  </si>
  <si>
    <t>Medium</t>
  </si>
  <si>
    <t>Moderate attention</t>
  </si>
  <si>
    <t>High</t>
  </si>
  <si>
    <t>Urgent</t>
  </si>
  <si>
    <t>Critical</t>
  </si>
  <si>
    <t>Immediate escalation</t>
  </si>
  <si>
    <t>Owner ID</t>
  </si>
  <si>
    <t>Property ID</t>
  </si>
  <si>
    <t>Owner Name</t>
  </si>
  <si>
    <t>Owner Type</t>
  </si>
  <si>
    <t>Mobile</t>
  </si>
  <si>
    <t>Email</t>
  </si>
  <si>
    <t>NID/Passport/Company Reg</t>
  </si>
  <si>
    <t>Current Address</t>
  </si>
  <si>
    <t>Property Address</t>
  </si>
  <si>
    <t>District</t>
  </si>
  <si>
    <t>Property Type</t>
  </si>
  <si>
    <t>Ownership Status</t>
  </si>
  <si>
    <t>Bank Account Details Collected?</t>
  </si>
  <si>
    <t>Current Status</t>
  </si>
  <si>
    <t>Assigned Officer</t>
  </si>
  <si>
    <t>Next Action</t>
  </si>
  <si>
    <t>Next Follow-Up</t>
  </si>
  <si>
    <t>OWN-0001</t>
  </si>
  <si>
    <t>PROP-0001</t>
  </si>
  <si>
    <t>Sample Owner - Apartment</t>
  </si>
  <si>
    <t>Individual</t>
  </si>
  <si>
    <t>01XXXXXXXXX</t>
  </si>
  <si>
    <t>owner1@example.com</t>
  </si>
  <si>
    <t>Pending</t>
  </si>
  <si>
    <t>Cumilla</t>
  </si>
  <si>
    <t>Cumilla Sadar, Cumilla</t>
  </si>
  <si>
    <t>Apartment</t>
  </si>
  <si>
    <t>Sole Ownership</t>
  </si>
  <si>
    <t>No</t>
  </si>
  <si>
    <t>Property Manager</t>
  </si>
  <si>
    <t>Collect owner KYC and property documents</t>
  </si>
  <si>
    <t>Example only</t>
  </si>
  <si>
    <t>OWN-0002</t>
  </si>
  <si>
    <t>PROP-0002</t>
  </si>
  <si>
    <t>Sample NRB Owner</t>
  </si>
  <si>
    <t>NRB Owner</t>
  </si>
  <si>
    <t>nrbowner@example.com</t>
  </si>
  <si>
    <t>Passport pending</t>
  </si>
  <si>
    <t>Overseas</t>
  </si>
  <si>
    <t>Kandirpar, Cumilla</t>
  </si>
  <si>
    <t>House</t>
  </si>
  <si>
    <t>Joint Ownership</t>
  </si>
  <si>
    <t>Confirm local representative and owner bank details</t>
  </si>
  <si>
    <t>OWN-0003</t>
  </si>
  <si>
    <t>PROP-0003</t>
  </si>
  <si>
    <t>Sample Commercial-Like Residential Owner</t>
  </si>
  <si>
    <t>owner3@example.com</t>
  </si>
  <si>
    <t>Dhaka</t>
  </si>
  <si>
    <t>Central Cumilla</t>
  </si>
  <si>
    <t>Furnished Apartment</t>
  </si>
  <si>
    <t>Yes</t>
  </si>
  <si>
    <t>Arrange rental assessment</t>
  </si>
  <si>
    <t>OWN-0004</t>
  </si>
  <si>
    <t>PROP-0004</t>
  </si>
  <si>
    <t>Sample Family Owner</t>
  </si>
  <si>
    <t>Individual/Joint</t>
  </si>
  <si>
    <t>familyowner@example.com</t>
  </si>
  <si>
    <t>Near school and main road</t>
  </si>
  <si>
    <t>Leasing Officer</t>
  </si>
  <si>
    <t>Monitor tenant enquiries</t>
  </si>
  <si>
    <t>OWN-0005</t>
  </si>
  <si>
    <t>PROP-0005</t>
  </si>
  <si>
    <t>Sample Investor Owner</t>
  </si>
  <si>
    <t>investorowner@example.com</t>
  </si>
  <si>
    <t>Comilla City</t>
  </si>
  <si>
    <t>Duplex</t>
  </si>
  <si>
    <t>Track rent collection</t>
  </si>
  <si>
    <t>Occupancy Status</t>
  </si>
  <si>
    <t>Furnished?</t>
  </si>
  <si>
    <t>Bedrooms</t>
  </si>
  <si>
    <t>Bathrooms</t>
  </si>
  <si>
    <t>Parking</t>
  </si>
  <si>
    <t>Utilities Active?</t>
  </si>
  <si>
    <t>Market Rent Range</t>
  </si>
  <si>
    <t>Approved Monthly Rent</t>
  </si>
  <si>
    <t>Rent Due Day</t>
  </si>
  <si>
    <t>Management Fee %</t>
  </si>
  <si>
    <t>Lease Minimum Period</t>
  </si>
  <si>
    <t>Property Condition</t>
  </si>
  <si>
    <t>Access Contact</t>
  </si>
  <si>
    <t>Remarks</t>
  </si>
  <si>
    <t>Cumilla Sadar</t>
  </si>
  <si>
    <t>Vacant</t>
  </si>
  <si>
    <t>3</t>
  </si>
  <si>
    <t>2</t>
  </si>
  <si>
    <t>1</t>
  </si>
  <si>
    <t>BDT 22,000-28,000</t>
  </si>
  <si>
    <t>BDT 25,000</t>
  </si>
  <si>
    <t>5</t>
  </si>
  <si>
    <t>5%</t>
  </si>
  <si>
    <t>6 Months</t>
  </si>
  <si>
    <t>Good</t>
  </si>
  <si>
    <t>Owner</t>
  </si>
  <si>
    <t>Kandirpar</t>
  </si>
  <si>
    <t>Vacant / caretaker</t>
  </si>
  <si>
    <t>4</t>
  </si>
  <si>
    <t>BDT 45,000-55,000</t>
  </si>
  <si>
    <t>BDT 50,000</t>
  </si>
  <si>
    <t>Fair</t>
  </si>
  <si>
    <t>Caretaker</t>
  </si>
  <si>
    <t>NRB owner</t>
  </si>
  <si>
    <t>BDT 30,000-38,000</t>
  </si>
  <si>
    <t>BDT 35,000</t>
  </si>
  <si>
    <t>Furniture inventory required</t>
  </si>
  <si>
    <t>BDT 38,000-45,000</t>
  </si>
  <si>
    <t>BDT 42,000</t>
  </si>
  <si>
    <t>Needs cleaning</t>
  </si>
  <si>
    <t>Family contact</t>
  </si>
  <si>
    <t>Preparation required</t>
  </si>
  <si>
    <t>Occupied</t>
  </si>
  <si>
    <t>BDT 55,000-65,000</t>
  </si>
  <si>
    <t>BDT 60,000</t>
  </si>
  <si>
    <t>Tenant</t>
  </si>
  <si>
    <t>Checklist ID</t>
  </si>
  <si>
    <t>Checklist Item</t>
  </si>
  <si>
    <t>Required?</t>
  </si>
  <si>
    <t>Evidence Required</t>
  </si>
  <si>
    <t>Responsible</t>
  </si>
  <si>
    <t>Action Required</t>
  </si>
  <si>
    <t>OBC-001</t>
  </si>
  <si>
    <t>Owner identity/KYC collected</t>
  </si>
  <si>
    <t>NID/Passport/Company document</t>
  </si>
  <si>
    <t>Admin</t>
  </si>
  <si>
    <t>Collect documents</t>
  </si>
  <si>
    <t>OBC-002</t>
  </si>
  <si>
    <t>Ownership document collected</t>
  </si>
  <si>
    <t>Deed/title/ownership papers</t>
  </si>
  <si>
    <t>Request ownership copy</t>
  </si>
  <si>
    <t>OBC-003</t>
  </si>
  <si>
    <t>Owner lawful authority to rent confirmed</t>
  </si>
  <si>
    <t>Owner declaration/authority</t>
  </si>
  <si>
    <t>Confirm before marketing</t>
  </si>
  <si>
    <t>OBC-004</t>
  </si>
  <si>
    <t>Joint owner consent collected</t>
  </si>
  <si>
    <t>If joint ownership</t>
  </si>
  <si>
    <t>Written consent from all owners</t>
  </si>
  <si>
    <t>Collect all signatures</t>
  </si>
  <si>
    <t>OBC-005</t>
  </si>
  <si>
    <t>Local representative/POA verified</t>
  </si>
  <si>
    <t>If NRB/representative</t>
  </si>
  <si>
    <t>POA/authorisation</t>
  </si>
  <si>
    <t>Admin/Legal Coordinator</t>
  </si>
  <si>
    <t>Coordinate review</t>
  </si>
  <si>
    <t>OBC-006</t>
  </si>
  <si>
    <t>Owner bank account details collected</t>
  </si>
  <si>
    <t>Bank account details</t>
  </si>
  <si>
    <t>Accounts</t>
  </si>
  <si>
    <t>Collect disbursement account</t>
  </si>
  <si>
    <t>OBC-007</t>
  </si>
  <si>
    <t>Owner tax/professional advice responsibility acknowledged</t>
  </si>
  <si>
    <t>Signed agreement / CRM note</t>
  </si>
  <si>
    <t>Record acknowledgement</t>
  </si>
  <si>
    <t>OBC-008</t>
  </si>
  <si>
    <t>Rental management agreement signed</t>
  </si>
  <si>
    <t>Signed owner agreement</t>
  </si>
  <si>
    <t>Send agreement</t>
  </si>
  <si>
    <t>OBC-009</t>
  </si>
  <si>
    <t>Property access confirmed</t>
  </si>
  <si>
    <t>Key/caretaker/contact details</t>
  </si>
  <si>
    <t>Coordinator</t>
  </si>
  <si>
    <t>Confirm access</t>
  </si>
  <si>
    <t>OBC-010</t>
  </si>
  <si>
    <t>Property photos and condition record created</t>
  </si>
  <si>
    <t>Photos/report</t>
  </si>
  <si>
    <t>Inspection Officer</t>
  </si>
  <si>
    <t>Arrange inspection</t>
  </si>
  <si>
    <t>Setup ID</t>
  </si>
  <si>
    <t>Assessment Item</t>
  </si>
  <si>
    <t>Finding / Decision</t>
  </si>
  <si>
    <t>Required Action</t>
  </si>
  <si>
    <t>Due Date</t>
  </si>
  <si>
    <t>SET-001</t>
  </si>
  <si>
    <t>Rental market analysis</t>
  </si>
  <si>
    <t>Comparable rents BDT 22,000-28,000</t>
  </si>
  <si>
    <t>Confirm rent at BDT 25,000</t>
  </si>
  <si>
    <t>SET-002</t>
  </si>
  <si>
    <t>Property readiness</t>
  </si>
  <si>
    <t>Good condition, minor cleaning needed</t>
  </si>
  <si>
    <t>Coordinate cleaning before photos</t>
  </si>
  <si>
    <t>SET-003</t>
  </si>
  <si>
    <t>Utility status</t>
  </si>
  <si>
    <t>Partial / to be confirmed</t>
  </si>
  <si>
    <t>Confirm electricity, gas, water status</t>
  </si>
  <si>
    <t>SET-004</t>
  </si>
  <si>
    <t>Furniture inventory</t>
  </si>
  <si>
    <t>Furnished apartment</t>
  </si>
  <si>
    <t>Prepare inventory with photos</t>
  </si>
  <si>
    <t>SET-005</t>
  </si>
  <si>
    <t>Preparation requirement</t>
  </si>
  <si>
    <t>Cleaning and presentation required</t>
  </si>
  <si>
    <t>Prepare owner approval request</t>
  </si>
  <si>
    <t>SET-006</t>
  </si>
  <si>
    <t>Active tenancy status</t>
  </si>
  <si>
    <t>Existing tenant / active rent collection</t>
  </si>
  <si>
    <t>Import lease and ledger details</t>
  </si>
  <si>
    <t>Marketing ID</t>
  </si>
  <si>
    <t>Marketing Channel</t>
  </si>
  <si>
    <t>Marketing Asset / Task</t>
  </si>
  <si>
    <t>Start Date</t>
  </si>
  <si>
    <t>End Date</t>
  </si>
  <si>
    <t>Budget</t>
  </si>
  <si>
    <t>Enquiries Generated</t>
  </si>
  <si>
    <t>Inspections Booked</t>
  </si>
  <si>
    <t>MKT-001</t>
  </si>
  <si>
    <t>Website Listing</t>
  </si>
  <si>
    <t>Property listing with photos and rent details</t>
  </si>
  <si>
    <t>BDT ______</t>
  </si>
  <si>
    <t>Not Started</t>
  </si>
  <si>
    <t>0</t>
  </si>
  <si>
    <t>Complete photos first</t>
  </si>
  <si>
    <t>MKT-002</t>
  </si>
  <si>
    <t>Facebook / Social Media</t>
  </si>
  <si>
    <t>Social post and boost</t>
  </si>
  <si>
    <t>Prepare content</t>
  </si>
  <si>
    <t>MKT-003</t>
  </si>
  <si>
    <t>Buyer/Tenant Database</t>
  </si>
  <si>
    <t>Targeted tenant outreach</t>
  </si>
  <si>
    <t>Confirm owner authority</t>
  </si>
  <si>
    <t>MKT-004</t>
  </si>
  <si>
    <t>Furnished apartment listing</t>
  </si>
  <si>
    <t>Drafting</t>
  </si>
  <si>
    <t>Inventory and photos required</t>
  </si>
  <si>
    <t>MKT-005</t>
  </si>
  <si>
    <t>Referral Network</t>
  </si>
  <si>
    <t>Local tenant sourcing</t>
  </si>
  <si>
    <t>Live</t>
  </si>
  <si>
    <t>Screen applicants</t>
  </si>
  <si>
    <t>Application ID</t>
  </si>
  <si>
    <t>Tenant ID</t>
  </si>
  <si>
    <t>Applicant Name</t>
  </si>
  <si>
    <t>Occupation/Employer</t>
  </si>
  <si>
    <t>Monthly Income</t>
  </si>
  <si>
    <t>Application Date</t>
  </si>
  <si>
    <t>ID Received?</t>
  </si>
  <si>
    <t>Employment Verified?</t>
  </si>
  <si>
    <t>References Checked?</t>
  </si>
  <si>
    <t>Income Verified?</t>
  </si>
  <si>
    <t>Background Check Status</t>
  </si>
  <si>
    <t>Application Status</t>
  </si>
  <si>
    <t>Recommendation</t>
  </si>
  <si>
    <t>APP-0001</t>
  </si>
  <si>
    <t>TEN-0001</t>
  </si>
  <si>
    <t>Sample Tenant 1</t>
  </si>
  <si>
    <t>tenant1@example.com</t>
  </si>
  <si>
    <t>Teacher</t>
  </si>
  <si>
    <t>BDT 70,000</t>
  </si>
  <si>
    <t>New</t>
  </si>
  <si>
    <t>Await documents</t>
  </si>
  <si>
    <t>APP-0002</t>
  </si>
  <si>
    <t>TEN-0002</t>
  </si>
  <si>
    <t>Sample Tenant 2</t>
  </si>
  <si>
    <t>tenant2@example.com</t>
  </si>
  <si>
    <t>Bank Officer</t>
  </si>
  <si>
    <t>BDT 90,000</t>
  </si>
  <si>
    <t>In Progress</t>
  </si>
  <si>
    <t>Screening</t>
  </si>
  <si>
    <t>Likely suitable</t>
  </si>
  <si>
    <t>APP-0003</t>
  </si>
  <si>
    <t>TEN-0003</t>
  </si>
  <si>
    <t>Sample Tenant 3</t>
  </si>
  <si>
    <t>tenant3@example.com</t>
  </si>
  <si>
    <t>Business Owner</t>
  </si>
  <si>
    <t>BDT 120,000</t>
  </si>
  <si>
    <t>Need reference check</t>
  </si>
  <si>
    <t>APP-0004</t>
  </si>
  <si>
    <t>TEN-0004</t>
  </si>
  <si>
    <t>Sample Tenant 4</t>
  </si>
  <si>
    <t>tenant4@example.com</t>
  </si>
  <si>
    <t>Engineer</t>
  </si>
  <si>
    <t>BDT 100,000</t>
  </si>
  <si>
    <t>Completed</t>
  </si>
  <si>
    <t>Recommended</t>
  </si>
  <si>
    <t>Send to owner</t>
  </si>
  <si>
    <t>APP-0005</t>
  </si>
  <si>
    <t>TEN-0005</t>
  </si>
  <si>
    <t>Existing Tenant</t>
  </si>
  <si>
    <t>tenant5@example.com</t>
  </si>
  <si>
    <t>Professional</t>
  </si>
  <si>
    <t>BDT 150,000</t>
  </si>
  <si>
    <t>Approved</t>
  </si>
  <si>
    <t>Verification ID</t>
  </si>
  <si>
    <t>Verification Item</t>
  </si>
  <si>
    <t>TVC-001</t>
  </si>
  <si>
    <t>Tenant NID/Passport collected</t>
  </si>
  <si>
    <t>ID copy</t>
  </si>
  <si>
    <t>Request ID</t>
  </si>
  <si>
    <t>TVC-002</t>
  </si>
  <si>
    <t>Current address verified</t>
  </si>
  <si>
    <t>Address proof</t>
  </si>
  <si>
    <t>Request proof</t>
  </si>
  <si>
    <t>TVC-003</t>
  </si>
  <si>
    <t>Occupation/employment checked</t>
  </si>
  <si>
    <t>Employment letter/business proof</t>
  </si>
  <si>
    <t>Contact employer/check documents</t>
  </si>
  <si>
    <t>TVC-004</t>
  </si>
  <si>
    <t>Income/affordability checked</t>
  </si>
  <si>
    <t>Salary statement/bank statement</t>
  </si>
  <si>
    <t>Review affordability</t>
  </si>
  <si>
    <t>TVC-005</t>
  </si>
  <si>
    <t>References checked</t>
  </si>
  <si>
    <t>Reference notes</t>
  </si>
  <si>
    <t>Call references</t>
  </si>
  <si>
    <t>TVC-006</t>
  </si>
  <si>
    <t>Rental history checked</t>
  </si>
  <si>
    <t>Previous landlord contact</t>
  </si>
  <si>
    <t>Contact previous landlord</t>
  </si>
  <si>
    <t>TVC-007</t>
  </si>
  <si>
    <t>Occupant declaration collected</t>
  </si>
  <si>
    <t>Occupant list and IDs</t>
  </si>
  <si>
    <t>Collect occupant details</t>
  </si>
  <si>
    <t>TVC-008</t>
  </si>
  <si>
    <t>False information/fraud warning acknowledged</t>
  </si>
  <si>
    <t>Signed application/tenancy agreement</t>
  </si>
  <si>
    <t>Approval ID</t>
  </si>
  <si>
    <t>Owner Approval Required?</t>
  </si>
  <si>
    <t>Owner Decision</t>
  </si>
  <si>
    <t>Seventh Sky Recommendation</t>
  </si>
  <si>
    <t>Approved Rent</t>
  </si>
  <si>
    <t>Lease Start Target</t>
  </si>
  <si>
    <t>Approval Evidence</t>
  </si>
  <si>
    <t>APR-0001</t>
  </si>
  <si>
    <t>Hold pending verification</t>
  </si>
  <si>
    <t>Owner approval / CRM note</t>
  </si>
  <si>
    <t>APR-0002</t>
  </si>
  <si>
    <t>Likely suitable after verification</t>
  </si>
  <si>
    <t>APR-0003</t>
  </si>
  <si>
    <t>Prepare lease</t>
  </si>
  <si>
    <t>APR-0004</t>
  </si>
  <si>
    <t>N/A</t>
  </si>
  <si>
    <t>Existing active tenant</t>
  </si>
  <si>
    <t>Existing lease</t>
  </si>
  <si>
    <t>Lease ID</t>
  </si>
  <si>
    <t>Lease Start Date</t>
  </si>
  <si>
    <t>Lease End Date</t>
  </si>
  <si>
    <t>Minimum Lease Period</t>
  </si>
  <si>
    <t>Monthly Rent</t>
  </si>
  <si>
    <t>Payment Method</t>
  </si>
  <si>
    <t>Advance Rent Required</t>
  </si>
  <si>
    <t>Security Deposit Required</t>
  </si>
  <si>
    <t>Agreement Sent Date</t>
  </si>
  <si>
    <t>Signed Date</t>
  </si>
  <si>
    <t>Renewal Reminder Date</t>
  </si>
  <si>
    <t>LEASE-0001</t>
  </si>
  <si>
    <t>Bank/approved method</t>
  </si>
  <si>
    <t>1 month</t>
  </si>
  <si>
    <t>2 months</t>
  </si>
  <si>
    <t>LEASE-0002</t>
  </si>
  <si>
    <t>LEASE-0003</t>
  </si>
  <si>
    <t>Active tenancy</t>
  </si>
  <si>
    <t>Move-In ID</t>
  </si>
  <si>
    <t>MI-001</t>
  </si>
  <si>
    <t>Signed tenancy agreement received</t>
  </si>
  <si>
    <t>Signed agreement</t>
  </si>
  <si>
    <t>MI-002</t>
  </si>
  <si>
    <t>Advance rent received</t>
  </si>
  <si>
    <t>Receipt</t>
  </si>
  <si>
    <t>Minimum 1 month</t>
  </si>
  <si>
    <t>MI-003</t>
  </si>
  <si>
    <t>Security deposit/bond received</t>
  </si>
  <si>
    <t>Minimum 2 months equivalent rent</t>
  </si>
  <si>
    <t>MI-004</t>
  </si>
  <si>
    <t>Entry inspection completed</t>
  </si>
  <si>
    <t>Entry inspection report/photos</t>
  </si>
  <si>
    <t>MI-005</t>
  </si>
  <si>
    <t>Keys/access handover recorded</t>
  </si>
  <si>
    <t>Key handover form</t>
  </si>
  <si>
    <t>MI-006</t>
  </si>
  <si>
    <t>Utility responsibility explained</t>
  </si>
  <si>
    <t>Tenant acknowledgement</t>
  </si>
  <si>
    <t>MI-007</t>
  </si>
  <si>
    <t>Occupant declaration completed</t>
  </si>
  <si>
    <t>Occupant list/IDs</t>
  </si>
  <si>
    <t>MI-008</t>
  </si>
  <si>
    <t>Building rules explained</t>
  </si>
  <si>
    <t>If applicable</t>
  </si>
  <si>
    <t>Signed acknowledgement</t>
  </si>
  <si>
    <t>MI-009</t>
  </si>
  <si>
    <t>CRM tenancy activated</t>
  </si>
  <si>
    <t>CRM status active</t>
  </si>
  <si>
    <t>Rent ID</t>
  </si>
  <si>
    <t>Month</t>
  </si>
  <si>
    <t>Opening Arrears</t>
  </si>
  <si>
    <t>Amount Due</t>
  </si>
  <si>
    <t>Amount Received</t>
  </si>
  <si>
    <t>Receipt No</t>
  </si>
  <si>
    <t>Payment Date</t>
  </si>
  <si>
    <t>Arrears Balance</t>
  </si>
  <si>
    <t>Days Overdue</t>
  </si>
  <si>
    <t>Reminder Stage</t>
  </si>
  <si>
    <t>RC-0001</t>
  </si>
  <si>
    <t>Jan-2026</t>
  </si>
  <si>
    <t>2026-01-05</t>
  </si>
  <si>
    <t>REC-0001</t>
  </si>
  <si>
    <t>Example active tenancy</t>
  </si>
  <si>
    <t>RC-0002</t>
  </si>
  <si>
    <t>Feb-2026</t>
  </si>
  <si>
    <t>2026-02-05</t>
  </si>
  <si>
    <t>REC-0002</t>
  </si>
  <si>
    <t>2026-02-08</t>
  </si>
  <si>
    <t>Part payment</t>
  </si>
  <si>
    <t>RC-0003</t>
  </si>
  <si>
    <t>Mar-2026</t>
  </si>
  <si>
    <t>2026-03-05</t>
  </si>
  <si>
    <t>Scheduled</t>
  </si>
  <si>
    <t>RC-0004</t>
  </si>
  <si>
    <t>Pending lease</t>
  </si>
  <si>
    <t>RC-0005</t>
  </si>
  <si>
    <t>REC-0003</t>
  </si>
  <si>
    <t>2026-03-06</t>
  </si>
  <si>
    <t>Previous arrears recovered</t>
  </si>
  <si>
    <t>Disbursement ID</t>
  </si>
  <si>
    <t>Period</t>
  </si>
  <si>
    <t>Rent Collected</t>
  </si>
  <si>
    <t>Opening Arrears Recovered</t>
  </si>
  <si>
    <t>Management Fee</t>
  </si>
  <si>
    <t>Approved Maintenance</t>
  </si>
  <si>
    <t>Utilities / Bills</t>
  </si>
  <si>
    <t>Other Approved Deductions</t>
  </si>
  <si>
    <t>Total Deductions</t>
  </si>
  <si>
    <t>Net Owner Disbursement</t>
  </si>
  <si>
    <t>Owner Bank</t>
  </si>
  <si>
    <t>Statement Sent?</t>
  </si>
  <si>
    <t>Disbursement Status</t>
  </si>
  <si>
    <t>DISB-0001</t>
  </si>
  <si>
    <t>Bank details on file</t>
  </si>
  <si>
    <t>2026-01-07</t>
  </si>
  <si>
    <t>Example</t>
  </si>
  <si>
    <t>DISB-0002</t>
  </si>
  <si>
    <t>2026-02-10</t>
  </si>
  <si>
    <t>Part payment month</t>
  </si>
  <si>
    <t>DISB-0003</t>
  </si>
  <si>
    <t>Pending Approval</t>
  </si>
  <si>
    <t>Previous arrears included</t>
  </si>
  <si>
    <t>DISB-0004</t>
  </si>
  <si>
    <t>Not Ready</t>
  </si>
  <si>
    <t>No rent received</t>
  </si>
  <si>
    <t>Statement Field</t>
  </si>
  <si>
    <t>Value / Formula / Input</t>
  </si>
  <si>
    <t>Select owner</t>
  </si>
  <si>
    <t>Select property</t>
  </si>
  <si>
    <t>Statement Period</t>
  </si>
  <si>
    <t>Monthly statement period</t>
  </si>
  <si>
    <t>৳ 75,000</t>
  </si>
  <si>
    <t>From Rent Collection Register</t>
  </si>
  <si>
    <t>৳ 15,000</t>
  </si>
  <si>
    <t>৳ 3,750</t>
  </si>
  <si>
    <t>5% of collection unless otherwise agreed</t>
  </si>
  <si>
    <t>Approved Maintenance Deductions</t>
  </si>
  <si>
    <t>৳ 0</t>
  </si>
  <si>
    <t>From Maintenance Register</t>
  </si>
  <si>
    <t>Utilities / Bill Deductions</t>
  </si>
  <si>
    <t>৳ 2,000</t>
  </si>
  <si>
    <t>If owner-approved or authorised</t>
  </si>
  <si>
    <t>Approved costs only</t>
  </si>
  <si>
    <t>৳ 69,250</t>
  </si>
  <si>
    <t>Rent collected minus deductions</t>
  </si>
  <si>
    <t>Disbursement Date</t>
  </si>
  <si>
    <t>Enter actual payment date</t>
  </si>
  <si>
    <t>Owner Bank Account</t>
  </si>
  <si>
    <t>From Owner Master Register</t>
  </si>
  <si>
    <t>Update once emailed/WhatsApp/shared</t>
  </si>
  <si>
    <t>Tax Disclaimer</t>
  </si>
  <si>
    <t>Owner remains responsible for tax/accounting obligations relating to rental income.</t>
  </si>
  <si>
    <t>Include in statement footer</t>
  </si>
  <si>
    <t>Arrears ID</t>
  </si>
  <si>
    <t>Outstanding</t>
  </si>
  <si>
    <t>Reminder Sent Date</t>
  </si>
  <si>
    <t>Notice Issued?</t>
  </si>
  <si>
    <t>Escalation Level</t>
  </si>
  <si>
    <t>ARR-0001</t>
  </si>
  <si>
    <t>BDT 45,000</t>
  </si>
  <si>
    <t>BDT 15,000</t>
  </si>
  <si>
    <t>Reminder 1</t>
  </si>
  <si>
    <t>Send polite reminder and update owner</t>
  </si>
  <si>
    <t>Open</t>
  </si>
  <si>
    <t>ARR-0002</t>
  </si>
  <si>
    <t>BDT 0</t>
  </si>
  <si>
    <t>Not Due / Pending</t>
  </si>
  <si>
    <t>Monitor due date</t>
  </si>
  <si>
    <t>ARR-0003</t>
  </si>
  <si>
    <t>Await lease activation</t>
  </si>
  <si>
    <t>Bond ID</t>
  </si>
  <si>
    <t>Advance Rent Received</t>
  </si>
  <si>
    <t>Security Deposit Received</t>
  </si>
  <si>
    <t>Total Received Before Move-In</t>
  </si>
  <si>
    <t>Receipt Evidence</t>
  </si>
  <si>
    <t>Bond Status</t>
  </si>
  <si>
    <t>Refund/Deduction Status</t>
  </si>
  <si>
    <t>BOND-0001</t>
  </si>
  <si>
    <t>Pending Collection</t>
  </si>
  <si>
    <t>Not applicable</t>
  </si>
  <si>
    <t>Before occupancy</t>
  </si>
  <si>
    <t>BOND-0002</t>
  </si>
  <si>
    <t>Receipt attached</t>
  </si>
  <si>
    <t>Held</t>
  </si>
  <si>
    <t>Ready for move-in</t>
  </si>
  <si>
    <t>BOND-0003</t>
  </si>
  <si>
    <t>BDT 180,000</t>
  </si>
  <si>
    <t>Adjustment ID</t>
  </si>
  <si>
    <t>Exit Inspection Date</t>
  </si>
  <si>
    <t>Unpaid Rent</t>
  </si>
  <si>
    <t>Unpaid Bills</t>
  </si>
  <si>
    <t>Damage Repair Cost</t>
  </si>
  <si>
    <t>Cleaning Cost</t>
  </si>
  <si>
    <t>Replacement Cost</t>
  </si>
  <si>
    <t>Other Deductions</t>
  </si>
  <si>
    <t>Bond Held</t>
  </si>
  <si>
    <t>Refund Amount</t>
  </si>
  <si>
    <t>Owner/Tenant Approval</t>
  </si>
  <si>
    <t>BA-0001</t>
  </si>
  <si>
    <t>Future</t>
  </si>
  <si>
    <t>Normal wear and tear assessed reasonably</t>
  </si>
  <si>
    <t>BA-0002</t>
  </si>
  <si>
    <t>Inspection ID</t>
  </si>
  <si>
    <t>Scheduled Date</t>
  </si>
  <si>
    <t>Completed Date</t>
  </si>
  <si>
    <t>Inspector</t>
  </si>
  <si>
    <t>Photo/Video Evidence</t>
  </si>
  <si>
    <t>Findings Summary</t>
  </si>
  <si>
    <t>Follow-Up Required</t>
  </si>
  <si>
    <t>Report Sent to Owner?</t>
  </si>
  <si>
    <t>INSP-0001</t>
  </si>
  <si>
    <t>Pending entry inspection</t>
  </si>
  <si>
    <t>Yes before move-in</t>
  </si>
  <si>
    <t>Planned</t>
  </si>
  <si>
    <t>INSP-0002</t>
  </si>
  <si>
    <t>Check cleanliness, damage, maintenance</t>
  </si>
  <si>
    <t>INSP-0003</t>
  </si>
  <si>
    <t>Future exit inspection</t>
  </si>
  <si>
    <t>Bond adjustment</t>
  </si>
  <si>
    <t>Area / Category</t>
  </si>
  <si>
    <t>Item to Check</t>
  </si>
  <si>
    <t>Finding</t>
  </si>
  <si>
    <t>Photo Required?</t>
  </si>
  <si>
    <t>Condition Rating</t>
  </si>
  <si>
    <t>EIC-001</t>
  </si>
  <si>
    <t>General</t>
  </si>
  <si>
    <t>Confirm property address and handover condition</t>
  </si>
  <si>
    <t>Record baseline</t>
  </si>
  <si>
    <t>EIC-002</t>
  </si>
  <si>
    <t>Keys/Access</t>
  </si>
  <si>
    <t>Keys, remotes, access cards provided and recorded</t>
  </si>
  <si>
    <t>Complete key record</t>
  </si>
  <si>
    <t>EIC-003</t>
  </si>
  <si>
    <t>Living Area</t>
  </si>
  <si>
    <t>Walls, floor, ceiling, lights, windows</t>
  </si>
  <si>
    <t>Record defects</t>
  </si>
  <si>
    <t>EIC-004</t>
  </si>
  <si>
    <t>Wardrobes, doors, windows, lights, floors</t>
  </si>
  <si>
    <t>EIC-005</t>
  </si>
  <si>
    <t>Kitchen</t>
  </si>
  <si>
    <t>Sink, taps, cabinets, stove, tiles, exhaust</t>
  </si>
  <si>
    <t>Record condition</t>
  </si>
  <si>
    <t>EIC-006</t>
  </si>
  <si>
    <t>Toilet, shower, basin, drainage, tiles, ventilation</t>
  </si>
  <si>
    <t>EIC-007</t>
  </si>
  <si>
    <t>Utilities</t>
  </si>
  <si>
    <t>Electricity, gas, water meter/status</t>
  </si>
  <si>
    <t>Record meter if applicable</t>
  </si>
  <si>
    <t>EIC-008</t>
  </si>
  <si>
    <t>Safety</t>
  </si>
  <si>
    <t>Electrical hazard, water leakage, fire hazards</t>
  </si>
  <si>
    <t>Escalate if concern</t>
  </si>
  <si>
    <t>EIC-009</t>
  </si>
  <si>
    <t>Furnished Items</t>
  </si>
  <si>
    <t>Furniture inventory and condition</t>
  </si>
  <si>
    <t>If furnished</t>
  </si>
  <si>
    <t>Prepare inventory</t>
  </si>
  <si>
    <t>EIC-010</t>
  </si>
  <si>
    <t>Tenant Sign-Off</t>
  </si>
  <si>
    <t>Tenant agrees entry condition report</t>
  </si>
  <si>
    <t>Obtain sign-off</t>
  </si>
  <si>
    <t>Risk Rating</t>
  </si>
  <si>
    <t>RIC-001</t>
  </si>
  <si>
    <t>Property cleanliness and general care</t>
  </si>
  <si>
    <t>Record finding</t>
  </si>
  <si>
    <t>RIC-002</t>
  </si>
  <si>
    <t>Tenant Conduct</t>
  </si>
  <si>
    <t>Evidence of overcrowding/undeclared occupants</t>
  </si>
  <si>
    <t>If concern</t>
  </si>
  <si>
    <t>Update occupant records</t>
  </si>
  <si>
    <t>RIC-003</t>
  </si>
  <si>
    <t>Subletting</t>
  </si>
  <si>
    <t>Signs of subletting or unauthorised residents</t>
  </si>
  <si>
    <t>Escalate if suspected</t>
  </si>
  <si>
    <t>RIC-004</t>
  </si>
  <si>
    <t>Damage</t>
  </si>
  <si>
    <t>Damage beyond normal wear and tear</t>
  </si>
  <si>
    <t>Medium/High</t>
  </si>
  <si>
    <t>Issue tenant notice or maintenance plan</t>
  </si>
  <si>
    <t>RIC-005</t>
  </si>
  <si>
    <t>Maintenance</t>
  </si>
  <si>
    <t>Reported/unreported maintenance needs</t>
  </si>
  <si>
    <t>Create maintenance request</t>
  </si>
  <si>
    <t>RIC-006</t>
  </si>
  <si>
    <t>Utilities/Safety</t>
  </si>
  <si>
    <t>Water leakage, fire/electrical hazards, sanitation</t>
  </si>
  <si>
    <t>Immediate action if serious</t>
  </si>
  <si>
    <t>RIC-007</t>
  </si>
  <si>
    <t>Building Rules</t>
  </si>
  <si>
    <t>Compliance with building/community rules</t>
  </si>
  <si>
    <t>Follow up tenant</t>
  </si>
  <si>
    <t>RIC-008</t>
  </si>
  <si>
    <t>Owner Report</t>
  </si>
  <si>
    <t>Inspection report and photos sent to owner</t>
  </si>
  <si>
    <t>Send report</t>
  </si>
  <si>
    <t>Deduction Required?</t>
  </si>
  <si>
    <t>XIC-001</t>
  </si>
  <si>
    <t>Compare with entry condition report</t>
  </si>
  <si>
    <t>Identify changes</t>
  </si>
  <si>
    <t>XIC-002</t>
  </si>
  <si>
    <t>Cleaning</t>
  </si>
  <si>
    <t>Property cleaned to reasonable standard</t>
  </si>
  <si>
    <t>Deduct cleaning if required</t>
  </si>
  <si>
    <t>XIC-003</t>
  </si>
  <si>
    <t>Obtain repair quote</t>
  </si>
  <si>
    <t>XIC-004</t>
  </si>
  <si>
    <t>Final utility bills checked</t>
  </si>
  <si>
    <t>Confirm unpaid bills</t>
  </si>
  <si>
    <t>XIC-005</t>
  </si>
  <si>
    <t>All keys/remotes/access cards returned</t>
  </si>
  <si>
    <t>Deduct replacement if missing</t>
  </si>
  <si>
    <t>XIC-006</t>
  </si>
  <si>
    <t>Rent Arrears</t>
  </si>
  <si>
    <t>Outstanding rent checked</t>
  </si>
  <si>
    <t>Deduct unpaid rent where allowed</t>
  </si>
  <si>
    <t>XIC-007</t>
  </si>
  <si>
    <t>Bond Calculation</t>
  </si>
  <si>
    <t>Deductions and refund calculated</t>
  </si>
  <si>
    <t>Prepare bond adjustment</t>
  </si>
  <si>
    <t>XIC-008</t>
  </si>
  <si>
    <t>Bond adjustment communicated</t>
  </si>
  <si>
    <t>Record approval/dispute</t>
  </si>
  <si>
    <t>Maintenance ID</t>
  </si>
  <si>
    <t>Request Date</t>
  </si>
  <si>
    <t>Issue Type</t>
  </si>
  <si>
    <t>Issue Description</t>
  </si>
  <si>
    <t>Included Monthly Request?</t>
  </si>
  <si>
    <t>Approved Budget</t>
  </si>
  <si>
    <t>Assigned Provider</t>
  </si>
  <si>
    <t>Estimated Cost</t>
  </si>
  <si>
    <t>Actual Cost</t>
  </si>
  <si>
    <t>Before/After Photos</t>
  </si>
  <si>
    <t>MNT-0001</t>
  </si>
  <si>
    <t>Tap leakage reported</t>
  </si>
  <si>
    <t>If cost above limit</t>
  </si>
  <si>
    <t>Provider TBC</t>
  </si>
  <si>
    <t>BDT 2,000</t>
  </si>
  <si>
    <t>First monthly request may be included for coordination only</t>
  </si>
  <si>
    <t>MNT-0002</t>
  </si>
  <si>
    <t>Preparation</t>
  </si>
  <si>
    <t>Cleaning before tenant move-in</t>
  </si>
  <si>
    <t>Cleaner TBC</t>
  </si>
  <si>
    <t>BDT 5,000</t>
  </si>
  <si>
    <t>Owner pays contractor/material costs</t>
  </si>
  <si>
    <t>MNT-0003</t>
  </si>
  <si>
    <t>Electrical issue / safety concern</t>
  </si>
  <si>
    <t>Emergency approval if practical</t>
  </si>
  <si>
    <t>Electrician TBC</t>
  </si>
  <si>
    <t>BDT 10,000</t>
  </si>
  <si>
    <t>Expense ID</t>
  </si>
  <si>
    <t>Related Maintenance ID</t>
  </si>
  <si>
    <t>Expense Type</t>
  </si>
  <si>
    <t>Description</t>
  </si>
  <si>
    <t>Estimated Amount</t>
  </si>
  <si>
    <t>Approval Method</t>
  </si>
  <si>
    <t>Approved By</t>
  </si>
  <si>
    <t>Approval Date</t>
  </si>
  <si>
    <t>Invoice Received?</t>
  </si>
  <si>
    <t>Deduct From Rent?</t>
  </si>
  <si>
    <t>EXP-0001</t>
  </si>
  <si>
    <t>Repair</t>
  </si>
  <si>
    <t>Tap repair labour/material</t>
  </si>
  <si>
    <t>WhatsApp/CRM</t>
  </si>
  <si>
    <t>EXP-0002</t>
  </si>
  <si>
    <t>Pre-rental cleaning</t>
  </si>
  <si>
    <t>Email/CRM</t>
  </si>
  <si>
    <t>No - separate invoice</t>
  </si>
  <si>
    <t>EXP-0003</t>
  </si>
  <si>
    <t>Electrical safety repair</t>
  </si>
  <si>
    <t>Where practical</t>
  </si>
  <si>
    <t>Phone/WhatsApp/CRM</t>
  </si>
  <si>
    <t>Owner/Seventh Sky emergency authority</t>
  </si>
  <si>
    <t>Request Type</t>
  </si>
  <si>
    <t>Details</t>
  </si>
  <si>
    <t>Assigned To</t>
  </si>
  <si>
    <t>Resolution Notes</t>
  </si>
  <si>
    <t>TR-0001</t>
  </si>
  <si>
    <t>Tap leakage</t>
  </si>
  <si>
    <t>If expense</t>
  </si>
  <si>
    <t>TR-0002</t>
  </si>
  <si>
    <t>Utility</t>
  </si>
  <si>
    <t>Internet provider access request</t>
  </si>
  <si>
    <t>TR-0003</t>
  </si>
  <si>
    <t>Move-in</t>
  </si>
  <si>
    <t>Key handover timing</t>
  </si>
  <si>
    <t>Utility ID</t>
  </si>
  <si>
    <t>Utility Type</t>
  </si>
  <si>
    <t>Responsibility</t>
  </si>
  <si>
    <t>Account/Provider</t>
  </si>
  <si>
    <t>Bill Period</t>
  </si>
  <si>
    <t>Amount</t>
  </si>
  <si>
    <t>Paid By</t>
  </si>
  <si>
    <t>Evidence</t>
  </si>
  <si>
    <t>UTIL-0001</t>
  </si>
  <si>
    <t>Electricity</t>
  </si>
  <si>
    <t>Receipt required</t>
  </si>
  <si>
    <t>Tenant usually responsible unless agreed</t>
  </si>
  <si>
    <t>UTIL-0002</t>
  </si>
  <si>
    <t>Water</t>
  </si>
  <si>
    <t>UTIL-0003</t>
  </si>
  <si>
    <t>Building Charge</t>
  </si>
  <si>
    <t>Tenant/Owner as agreed</t>
  </si>
  <si>
    <t>Building Management</t>
  </si>
  <si>
    <t>Monthly</t>
  </si>
  <si>
    <t>TBC</t>
  </si>
  <si>
    <t>Invoice required</t>
  </si>
  <si>
    <t>Clarify before move-in</t>
  </si>
  <si>
    <t>Record ID</t>
  </si>
  <si>
    <t>Occupant Name</t>
  </si>
  <si>
    <t>Relationship</t>
  </si>
  <si>
    <t>Contact</t>
  </si>
  <si>
    <t>Occupation</t>
  </si>
  <si>
    <t>Approved Occupant?</t>
  </si>
  <si>
    <t>Subletting Concern?</t>
  </si>
  <si>
    <t>Updated Date</t>
  </si>
  <si>
    <t>OCC-0001</t>
  </si>
  <si>
    <t>Tenant spouse/family member TBC</t>
  </si>
  <si>
    <t>Family</t>
  </si>
  <si>
    <t>OCC-0002</t>
  </si>
  <si>
    <t>Occupant 1</t>
  </si>
  <si>
    <t>OCC-0003</t>
  </si>
  <si>
    <t>Protected Relationship</t>
  </si>
  <si>
    <t>Introduction Date</t>
  </si>
  <si>
    <t>Protection Basis</t>
  </si>
  <si>
    <t>Direct Communication Allowed?</t>
  </si>
  <si>
    <t>Breach Risk</t>
  </si>
  <si>
    <t>Monitoring Notes</t>
  </si>
  <si>
    <t>NC-0001</t>
  </si>
  <si>
    <t>Tenant introduced/managed by Seventh Sky</t>
  </si>
  <si>
    <t>Tenancy management and rental commission protection</t>
  </si>
  <si>
    <t>No unless approved</t>
  </si>
  <si>
    <t>Monitor owner-tenant direct payment requests</t>
  </si>
  <si>
    <t>NC-0002</t>
  </si>
  <si>
    <t>Tenant introduced by Seventh Sky</t>
  </si>
  <si>
    <t>Exclusive tenant introduction and communication</t>
  </si>
  <si>
    <t>NRB owner - all communication through Seventh Sky</t>
  </si>
  <si>
    <t>NC-0003</t>
  </si>
  <si>
    <t>Prospective tenant through Seventh Sky</t>
  </si>
  <si>
    <t>Application and screening effort</t>
  </si>
  <si>
    <t>Log ID</t>
  </si>
  <si>
    <t>Date</t>
  </si>
  <si>
    <t>Related To</t>
  </si>
  <si>
    <t>Communication Channel</t>
  </si>
  <si>
    <t>Summary</t>
  </si>
  <si>
    <t>COM-0001</t>
  </si>
  <si>
    <t>Phone</t>
  </si>
  <si>
    <t>Owner enquiry for rental management</t>
  </si>
  <si>
    <t>Collect documents and schedule property assessment</t>
  </si>
  <si>
    <t>COM-0002</t>
  </si>
  <si>
    <t>WhatsApp</t>
  </si>
  <si>
    <t>Tenant application documents requested</t>
  </si>
  <si>
    <t>Follow up ID and income proof</t>
  </si>
  <si>
    <t>COM-0003</t>
  </si>
  <si>
    <t>Owner/Tenant</t>
  </si>
  <si>
    <t>CRM/WhatsApp</t>
  </si>
  <si>
    <t>Rent reminder and payment confirmation</t>
  </si>
  <si>
    <t>Update rent register</t>
  </si>
  <si>
    <t>COM-0004</t>
  </si>
  <si>
    <t>Owner statement pending for March</t>
  </si>
  <si>
    <t>Prepare statement and disbursement</t>
  </si>
  <si>
    <t>Renewal ID</t>
  </si>
  <si>
    <t>Tenant History Satisfactory?</t>
  </si>
  <si>
    <t>Owner Approval</t>
  </si>
  <si>
    <t>Updated Rent Proposed</t>
  </si>
  <si>
    <t>Renewal Decision</t>
  </si>
  <si>
    <t>New Lease Start</t>
  </si>
  <si>
    <t>REN-0001</t>
  </si>
  <si>
    <t>Renewal requires mutual agreement and updated rental terms</t>
  </si>
  <si>
    <t>REN-0002</t>
  </si>
  <si>
    <t>Termination ID</t>
  </si>
  <si>
    <t>Notice Type</t>
  </si>
  <si>
    <t>Notice Received Date</t>
  </si>
  <si>
    <t>Intended Vacate Date</t>
  </si>
  <si>
    <t>Notice Period Met?</t>
  </si>
  <si>
    <t>Reason</t>
  </si>
  <si>
    <t>Early Termination Costs?</t>
  </si>
  <si>
    <t>Replacement Tenant Required?</t>
  </si>
  <si>
    <t>TERM-0001</t>
  </si>
  <si>
    <t>Standard Vacancy Notice</t>
  </si>
  <si>
    <t>Future vacancy</t>
  </si>
  <si>
    <t>Tenant should provide required written notice</t>
  </si>
  <si>
    <t>TERM-0002</t>
  </si>
  <si>
    <t>Early Termination</t>
  </si>
  <si>
    <t>Future early termination if applicable</t>
  </si>
  <si>
    <t>May include remaining rent, remarketing or admin costs</t>
  </si>
  <si>
    <t>Risk ID</t>
  </si>
  <si>
    <t>Risk Category</t>
  </si>
  <si>
    <t>Likelihood</t>
  </si>
  <si>
    <t>Impact</t>
  </si>
  <si>
    <t>Mitigation / Control</t>
  </si>
  <si>
    <t>Review Date</t>
  </si>
  <si>
    <t>RISK-0001</t>
  </si>
  <si>
    <t>Tenant delays or fails to pay rent on time</t>
  </si>
  <si>
    <t>Rent reminders, arrears tracker, notices and escalation workflow</t>
  </si>
  <si>
    <t>RISK-0002</t>
  </si>
  <si>
    <t>Owner Disbursement Error</t>
  </si>
  <si>
    <t>Incorrect deduction or payout to owner</t>
  </si>
  <si>
    <t>Use statement review and disbursement approval before payment</t>
  </si>
  <si>
    <t>RISK-0003</t>
  </si>
  <si>
    <t>Tenant Damage</t>
  </si>
  <si>
    <t>Tenant/occupant damages property beyond normal wear and tear</t>
  </si>
  <si>
    <t>Entry/routine/exit inspections, photos, bond adjustment records</t>
  </si>
  <si>
    <t>RISK-0004</t>
  </si>
  <si>
    <t>False Tenant Information</t>
  </si>
  <si>
    <t>Tenant provides forged or misleading documents</t>
  </si>
  <si>
    <t>Verification checklist and fraud termination controls</t>
  </si>
  <si>
    <t>RISK-0005</t>
  </si>
  <si>
    <t>Unauthorized Occupants/Subletting</t>
  </si>
  <si>
    <t>Tenant adds occupants or sublets without approval</t>
  </si>
  <si>
    <t>Occupant register and routine inspections</t>
  </si>
  <si>
    <t>RISK-0006</t>
  </si>
  <si>
    <t>Maintenance Cost Dispute</t>
  </si>
  <si>
    <t>Owner disputes contractor, material or emergency repair costs</t>
  </si>
  <si>
    <t>Expense approval register and evidence/photos/invoices</t>
  </si>
  <si>
    <t>RISK-0007</t>
  </si>
  <si>
    <t>Owner Tax Liability</t>
  </si>
  <si>
    <t>Owner assumes Seventh Sky handles rental tax/accounting</t>
  </si>
  <si>
    <t>Owner statement disclaimer and agreement acknowledgement</t>
  </si>
  <si>
    <t>RISK-0008</t>
  </si>
  <si>
    <t>Non-Circumvention</t>
  </si>
  <si>
    <t>Owner and tenant bypass Seventh Sky to avoid management fee</t>
  </si>
  <si>
    <t>Non-circumvention register and payment monitoring</t>
  </si>
  <si>
    <t>Manager</t>
  </si>
  <si>
    <t>KPI</t>
  </si>
  <si>
    <t>Target</t>
  </si>
  <si>
    <t>Current Value</t>
  </si>
  <si>
    <t>Data Source</t>
  </si>
  <si>
    <t>Review Frequency</t>
  </si>
  <si>
    <t>Owner lead response time</t>
  </si>
  <si>
    <t>Within 1 business day</t>
  </si>
  <si>
    <t>Weekly</t>
  </si>
  <si>
    <t>Owner agreement completion</t>
  </si>
  <si>
    <t>100% before marketing/management</t>
  </si>
  <si>
    <t>Owner Onboarding Checklist</t>
  </si>
  <si>
    <t>Tenant application verification</t>
  </si>
  <si>
    <t>100% before approval</t>
  </si>
  <si>
    <t>Lease signed before occupancy</t>
  </si>
  <si>
    <t>100%</t>
  </si>
  <si>
    <t>Advance rent and bond received before move-in</t>
  </si>
  <si>
    <t>Move-In Checklist / Bond Register</t>
  </si>
  <si>
    <t>Rent collection on-time rate</t>
  </si>
  <si>
    <t>95%+</t>
  </si>
  <si>
    <t>Arrears over 14 days</t>
  </si>
  <si>
    <t>0 or management review</t>
  </si>
  <si>
    <t>Accounts/Manager</t>
  </si>
  <si>
    <t>Owner disbursement accuracy</t>
  </si>
  <si>
    <t>Owner statement sent on time</t>
  </si>
  <si>
    <t>Owner Statement / Disbursement Register</t>
  </si>
  <si>
    <t>Routine inspections completed</t>
  </si>
  <si>
    <t>Every 6 months</t>
  </si>
  <si>
    <t>Maintenance response time</t>
  </si>
  <si>
    <t>Within agreed timeframe</t>
  </si>
  <si>
    <t>Complaint/tenant request closure</t>
  </si>
  <si>
    <t>Within target timeframe</t>
  </si>
  <si>
    <t>Tenant Request Register</t>
  </si>
  <si>
    <t>Bond refund/adjustment evidence completeness</t>
  </si>
  <si>
    <t>Bond Adjustment Register</t>
  </si>
  <si>
    <t>At exit</t>
  </si>
  <si>
    <t>Non-circumvention incidents</t>
  </si>
  <si>
    <t>Non-Circumvention Register</t>
  </si>
  <si>
    <t>CRM Module</t>
  </si>
  <si>
    <t>Required Fields / Features</t>
  </si>
  <si>
    <t>Workflow Trigger</t>
  </si>
  <si>
    <t>Automation Requirement</t>
  </si>
  <si>
    <t>User Role</t>
  </si>
  <si>
    <t>Owner Lead Management</t>
  </si>
  <si>
    <t>Owner contact, property address, ownership status, bank details, tax acknowledgement</t>
  </si>
  <si>
    <t>Owner enquiry submitted</t>
  </si>
  <si>
    <t>Auto-create Owner ID and Property ID</t>
  </si>
  <si>
    <t>Sales/Admin</t>
  </si>
  <si>
    <t>Property type, rent range, approved rent, utilities, condition, photos</t>
  </si>
  <si>
    <t>Owner agreement signed</t>
  </si>
  <si>
    <t>Guided property setup form</t>
  </si>
  <si>
    <t>Tenant Application</t>
  </si>
  <si>
    <t>Applicant details, ID, employment, income, references, occupants</t>
  </si>
  <si>
    <t>Application received</t>
  </si>
  <si>
    <t>Application checklist and status tracker</t>
  </si>
  <si>
    <t>Tenant Verification</t>
  </si>
  <si>
    <t>Identity, income, employment, references, rental history, occupant declaration</t>
  </si>
  <si>
    <t>Application started</t>
  </si>
  <si>
    <t>Verification workflow before approval</t>
  </si>
  <si>
    <t>Lease Management</t>
  </si>
  <si>
    <t>Lease start/end, rent, due day, bond, advance rent, renewal reminder</t>
  </si>
  <si>
    <t>Tenant approved</t>
  </si>
  <si>
    <t>Auto-generate tenancy record and reminders</t>
  </si>
  <si>
    <t>Rent Collection</t>
  </si>
  <si>
    <t>Monthly rent, due date, received amount, arrears, reminder stage</t>
  </si>
  <si>
    <t>Monthly rent cycle</t>
  </si>
  <si>
    <t>Auto rent reminder and arrears calculation</t>
  </si>
  <si>
    <t>Owner Disbursement</t>
  </si>
  <si>
    <t>Rent collected, management fee %, expenses, deductions, net owner payout</t>
  </si>
  <si>
    <t>Rent received</t>
  </si>
  <si>
    <t>Owner statement and disbursement approval workflow</t>
  </si>
  <si>
    <t>Arrears Management</t>
  </si>
  <si>
    <t>Days overdue, reminder date, notice stage, escalation</t>
  </si>
  <si>
    <t>Rent overdue</t>
  </si>
  <si>
    <t>Auto reminder and escalation alert</t>
  </si>
  <si>
    <t>Bond Management</t>
  </si>
  <si>
    <t>Advance rent, security deposit, deductions, refund, evidence</t>
  </si>
  <si>
    <t>Lease start/exit</t>
  </si>
  <si>
    <t>Bond collection and refund checklist</t>
  </si>
  <si>
    <t>Accounts/Admin</t>
  </si>
  <si>
    <t>Inspection Management</t>
  </si>
  <si>
    <t>Entry, routine, exit inspections, photos, findings, owner report</t>
  </si>
  <si>
    <t>Move-in/routine/exit</t>
  </si>
  <si>
    <t>Inspection scheduling and photo upload</t>
  </si>
  <si>
    <t>Maintenance Management</t>
  </si>
  <si>
    <t>Issue, priority, owner approval, provider, cost, before/after photos</t>
  </si>
  <si>
    <t>Tenant/owner request</t>
  </si>
  <si>
    <t>Approval and evidence workflow</t>
  </si>
  <si>
    <t>Expense Approvals</t>
  </si>
  <si>
    <t>Owner approval, estimate, invoice, deduction from rent</t>
  </si>
  <si>
    <t>Maintenance/repair request</t>
  </si>
  <si>
    <t>Approval trail before deduction</t>
  </si>
  <si>
    <t>Coordinator/Accounts</t>
  </si>
  <si>
    <t>Tenant Requests</t>
  </si>
  <si>
    <t>Maintenance, utility, access, complaints, status, resolution</t>
  </si>
  <si>
    <t>Tenant request logged</t>
  </si>
  <si>
    <t>Task assignment and SLA tracking</t>
  </si>
  <si>
    <t>Renewal / Termination</t>
  </si>
  <si>
    <t>Notice, renewal decision, vacancy, exit, replacement tenant</t>
  </si>
  <si>
    <t>Lease nearing end</t>
  </si>
  <si>
    <t>Renewal reminders and vacancy workflow</t>
  </si>
  <si>
    <t>Protected owner-tenant relationship, communication restrictions, breach risk</t>
  </si>
  <si>
    <t>Tenant introduced/approved</t>
  </si>
  <si>
    <t>Monitor direct payment risks</t>
  </si>
  <si>
    <t>Dashboards</t>
  </si>
  <si>
    <t>Rent collected, arrears, disbursements, inspections, maintenance, occupancy</t>
  </si>
  <si>
    <t>Live data</t>
  </si>
  <si>
    <t>Executive and operational dashboard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</si>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</sst>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৳#,##0"/>
    <numFmt numFmtId="165" formatCode="yyyy\-mm\-dd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73B4C"/>
      </patternFill>
    </fill>
    <fill>
      <patternFill patternType="solid">
        <fgColor rgb="FFE6F2F6"/>
      </patternFill>
    </fill>
    <fill>
      <patternFill patternType="solid">
        <fgColor rgb="FF0F5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165" fontId="0" fillId="0" borderId="0" xfId="0" applyNumberFormat="1" applyAlignment="1">
      <alignment vertical="top" wrapText="1"/>
    </xf>
    <xf numFmtId="165" fontId="0" fillId="0" borderId="0" xfId="0" applyNumberFormat="1"/>
    <xf numFmtId="9" fontId="0" fillId="0" borderId="0" xfId="0" applyNumberFormat="1" applyAlignment="1">
      <alignment vertical="top" wrapText="1"/>
    </xf>
    <xf numFmtId="9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StatusValuesTbl" displayName="ListsStatusValuesTbl" ref="A1:D41">
  <tableColumns count="4">
    <tableColumn id="1" xr3:uid="{00000000-0010-0000-0000-000001000000}" name="List Type"/>
    <tableColumn id="2" xr3:uid="{00000000-0010-0000-0000-000002000000}" name="Value"/>
    <tableColumn id="3" xr3:uid="{00000000-0010-0000-0000-000003000000}" name="Use In Sheet"/>
    <tableColumn id="4" xr3:uid="{00000000-0010-0000-0000-00000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wnerMasterRegisterTbl" displayName="OwnerMasterRegisterTbl" ref="A1:R6">
  <tableColumns count="18">
    <tableColumn id="1" xr3:uid="{00000000-0010-0000-0100-000001000000}" name="Owner ID"/>
    <tableColumn id="2" xr3:uid="{00000000-0010-0000-0100-000002000000}" name="Property ID"/>
    <tableColumn id="3" xr3:uid="{00000000-0010-0000-0100-000003000000}" name="Owner Name"/>
    <tableColumn id="4" xr3:uid="{00000000-0010-0000-0100-000004000000}" name="Owner Type"/>
    <tableColumn id="5" xr3:uid="{00000000-0010-0000-0100-000005000000}" name="Mobile"/>
    <tableColumn id="6" xr3:uid="{00000000-0010-0000-0100-000006000000}" name="Email"/>
    <tableColumn id="7" xr3:uid="{00000000-0010-0000-0100-000007000000}" name="NID/Passport/Company Reg"/>
    <tableColumn id="8" xr3:uid="{00000000-0010-0000-0100-000008000000}" name="Current Address"/>
    <tableColumn id="9" xr3:uid="{00000000-0010-0000-0100-000009000000}" name="Property Address"/>
    <tableColumn id="10" xr3:uid="{00000000-0010-0000-0100-00000A000000}" name="District"/>
    <tableColumn id="11" xr3:uid="{00000000-0010-0000-0100-00000B000000}" name="Property Type"/>
    <tableColumn id="12" xr3:uid="{00000000-0010-0000-0100-00000C000000}" name="Ownership Status"/>
    <tableColumn id="13" xr3:uid="{00000000-0010-0000-0100-00000D000000}" name="Bank Account Details Collected?"/>
    <tableColumn id="14" xr3:uid="{00000000-0010-0000-0100-00000E000000}" name="Current Status"/>
    <tableColumn id="15" xr3:uid="{00000000-0010-0000-0100-00000F000000}" name="Assigned Officer"/>
    <tableColumn id="16" xr3:uid="{00000000-0010-0000-0100-000010000000}" name="Next Action"/>
    <tableColumn id="17" xr3:uid="{00000000-0010-0000-0100-000011000000}" name="Next Follow-Up"/>
    <tableColumn id="18" xr3:uid="{00000000-0010-0000-0100-000012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pertyMasterRegisterTbl" displayName="PropertyMasterRegisterTbl" ref="A1:R6">
  <tableColumns count="18">
    <tableColumn id="1" xr3:uid="{00000000-0010-0000-0200-000001000000}" name="Property ID"/>
    <tableColumn id="2" xr3:uid="{00000000-0010-0000-0200-000002000000}" name="Owner ID"/>
    <tableColumn id="3" xr3:uid="{00000000-0010-0000-0200-000003000000}" name="Property Address"/>
    <tableColumn id="4" xr3:uid="{00000000-0010-0000-0200-000004000000}" name="Property Type"/>
    <tableColumn id="5" xr3:uid="{00000000-0010-0000-0200-000005000000}" name="Occupancy Status"/>
    <tableColumn id="6" xr3:uid="{00000000-0010-0000-0200-000006000000}" name="Furnished?"/>
    <tableColumn id="7" xr3:uid="{00000000-0010-0000-0200-000007000000}" name="Bedrooms"/>
    <tableColumn id="8" xr3:uid="{00000000-0010-0000-0200-000008000000}" name="Bathrooms"/>
    <tableColumn id="9" xr3:uid="{00000000-0010-0000-0200-000009000000}" name="Parking"/>
    <tableColumn id="10" xr3:uid="{00000000-0010-0000-0200-00000A000000}" name="Utilities Active?"/>
    <tableColumn id="11" xr3:uid="{00000000-0010-0000-0200-00000B000000}" name="Market Rent Range"/>
    <tableColumn id="12" xr3:uid="{00000000-0010-0000-0200-00000C000000}" name="Approved Monthly Rent"/>
    <tableColumn id="13" xr3:uid="{00000000-0010-0000-0200-00000D000000}" name="Rent Due Day"/>
    <tableColumn id="14" xr3:uid="{00000000-0010-0000-0200-00000E000000}" name="Management Fee %"/>
    <tableColumn id="15" xr3:uid="{00000000-0010-0000-0200-00000F000000}" name="Lease Minimum Period"/>
    <tableColumn id="16" xr3:uid="{00000000-0010-0000-0200-000010000000}" name="Property Condition"/>
    <tableColumn id="17" xr3:uid="{00000000-0010-0000-0200-000011000000}" name="Access Contact"/>
    <tableColumn id="18" xr3:uid="{00000000-0010-0000-0200-000012000000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wnerOnboardingCheckliTbl" displayName="OwnerOnboardingCheckliTbl" ref="A1:J11">
  <tableColumns count="10">
    <tableColumn id="1" xr3:uid="{00000000-0010-0000-0300-000001000000}" name="Checklist ID"/>
    <tableColumn id="2" xr3:uid="{00000000-0010-0000-0300-000002000000}" name="Owner ID"/>
    <tableColumn id="3" xr3:uid="{00000000-0010-0000-0300-000003000000}" name="Property ID"/>
    <tableColumn id="4" xr3:uid="{00000000-0010-0000-0300-000004000000}" name="Checklist Item"/>
    <tableColumn id="5" xr3:uid="{00000000-0010-0000-0300-000005000000}" name="Required?"/>
    <tableColumn id="6" xr3:uid="{00000000-0010-0000-0300-000006000000}" name="Status"/>
    <tableColumn id="7" xr3:uid="{00000000-0010-0000-0300-000007000000}" name="Evidence Required"/>
    <tableColumn id="8" xr3:uid="{00000000-0010-0000-0300-000008000000}" name="Responsible"/>
    <tableColumn id="9" xr3:uid="{00000000-0010-0000-0300-000009000000}" name="Action Required"/>
    <tableColumn id="10" xr3:uid="{00000000-0010-0000-0300-00000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ntalAssessmentSetupTbl" displayName="RentalAssessmentSetupTbl" ref="A1:J7">
  <tableColumns count="10">
    <tableColumn id="1" xr3:uid="{00000000-0010-0000-0400-000001000000}" name="Setup ID"/>
    <tableColumn id="2" xr3:uid="{00000000-0010-0000-0400-000002000000}" name="Property ID"/>
    <tableColumn id="3" xr3:uid="{00000000-0010-0000-0400-000003000000}" name="Owner ID"/>
    <tableColumn id="4" xr3:uid="{00000000-0010-0000-0400-000004000000}" name="Assessment Item"/>
    <tableColumn id="5" xr3:uid="{00000000-0010-0000-0400-000005000000}" name="Finding / Decision"/>
    <tableColumn id="6" xr3:uid="{00000000-0010-0000-0400-000006000000}" name="Required Action"/>
    <tableColumn id="7" xr3:uid="{00000000-0010-0000-0400-000007000000}" name="Responsible"/>
    <tableColumn id="8" xr3:uid="{00000000-0010-0000-0400-000008000000}" name="Due Date"/>
    <tableColumn id="9" xr3:uid="{00000000-0010-0000-0400-000009000000}" name="Status"/>
    <tableColumn id="10" xr3:uid="{00000000-0010-0000-0400-00000A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rketingEnquiryTrackeTbl" displayName="MarketingEnquiryTrackeTbl" ref="A1:M6">
  <tableColumns count="13">
    <tableColumn id="1" xr3:uid="{00000000-0010-0000-0500-000001000000}" name="Marketing ID"/>
    <tableColumn id="2" xr3:uid="{00000000-0010-0000-0500-000002000000}" name="Property ID"/>
    <tableColumn id="3" xr3:uid="{00000000-0010-0000-0500-000003000000}" name="Owner ID"/>
    <tableColumn id="4" xr3:uid="{00000000-0010-0000-0500-000004000000}" name="Marketing Channel"/>
    <tableColumn id="5" xr3:uid="{00000000-0010-0000-0500-000005000000}" name="Marketing Asset / Task"/>
    <tableColumn id="6" xr3:uid="{00000000-0010-0000-0500-000006000000}" name="Start Date"/>
    <tableColumn id="7" xr3:uid="{00000000-0010-0000-0500-000007000000}" name="End Date"/>
    <tableColumn id="8" xr3:uid="{00000000-0010-0000-0500-000008000000}" name="Budget"/>
    <tableColumn id="9" xr3:uid="{00000000-0010-0000-0500-000009000000}" name="Status"/>
    <tableColumn id="10" xr3:uid="{00000000-0010-0000-0500-00000A000000}" name="Enquiries Generated"/>
    <tableColumn id="11" xr3:uid="{00000000-0010-0000-0500-00000B000000}" name="Inspections Booked"/>
    <tableColumn id="12" xr3:uid="{00000000-0010-0000-0500-00000C000000}" name="Next Action"/>
    <tableColumn id="13" xr3:uid="{00000000-0010-0000-0500-00000D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enantApplicationRegisTbl" displayName="TenantApplicationRegisTbl" ref="A1:P6">
  <tableColumns count="16">
    <tableColumn id="1" xr3:uid="{00000000-0010-0000-0600-000001000000}" name="Application ID"/>
    <tableColumn id="2" xr3:uid="{00000000-0010-0000-0600-000002000000}" name="Tenant ID"/>
    <tableColumn id="3" xr3:uid="{00000000-0010-0000-0600-000003000000}" name="Property ID"/>
    <tableColumn id="4" xr3:uid="{00000000-0010-0000-0600-000004000000}" name="Applicant Name"/>
    <tableColumn id="5" xr3:uid="{00000000-0010-0000-0600-000005000000}" name="Mobile"/>
    <tableColumn id="6" xr3:uid="{00000000-0010-0000-0600-000006000000}" name="Email"/>
    <tableColumn id="7" xr3:uid="{00000000-0010-0000-0600-000007000000}" name="Occupation/Employer"/>
    <tableColumn id="8" xr3:uid="{00000000-0010-0000-0600-000008000000}" name="Monthly Income"/>
    <tableColumn id="9" xr3:uid="{00000000-0010-0000-0600-000009000000}" name="Application Date"/>
    <tableColumn id="10" xr3:uid="{00000000-0010-0000-0600-00000A000000}" name="ID Received?"/>
    <tableColumn id="11" xr3:uid="{00000000-0010-0000-0600-00000B000000}" name="Employment Verified?"/>
    <tableColumn id="12" xr3:uid="{00000000-0010-0000-0600-00000C000000}" name="References Checked?"/>
    <tableColumn id="13" xr3:uid="{00000000-0010-0000-0600-00000D000000}" name="Income Verified?"/>
    <tableColumn id="14" xr3:uid="{00000000-0010-0000-0600-00000E000000}" name="Background Check Status"/>
    <tableColumn id="15" xr3:uid="{00000000-0010-0000-0600-00000F000000}" name="Application Status"/>
    <tableColumn id="16" xr3:uid="{00000000-0010-0000-0600-000010000000}" name="Recommend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nantVerificationChecTbl" displayName="TenantVerificationChecTbl" ref="A1:J9">
  <tableColumns count="10">
    <tableColumn id="1" xr3:uid="{00000000-0010-0000-0700-000001000000}" name="Verification ID"/>
    <tableColumn id="2" xr3:uid="{00000000-0010-0000-0700-000002000000}" name="Application ID"/>
    <tableColumn id="3" xr3:uid="{00000000-0010-0000-0700-000003000000}" name="Tenant ID"/>
    <tableColumn id="4" xr3:uid="{00000000-0010-0000-0700-000004000000}" name="Verification Item"/>
    <tableColumn id="5" xr3:uid="{00000000-0010-0000-0700-000005000000}" name="Required?"/>
    <tableColumn id="6" xr3:uid="{00000000-0010-0000-0700-000006000000}" name="Status"/>
    <tableColumn id="7" xr3:uid="{00000000-0010-0000-0700-000007000000}" name="Evidence Required"/>
    <tableColumn id="8" xr3:uid="{00000000-0010-0000-0700-000008000000}" name="Responsible"/>
    <tableColumn id="9" xr3:uid="{00000000-0010-0000-0700-000009000000}" name="Action Required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enantApprovalRegisterTbl" displayName="TenantApprovalRegisterTbl" ref="A1:L5">
  <tableColumns count="12">
    <tableColumn id="1" xr3:uid="{00000000-0010-0000-0800-000001000000}" name="Approval ID"/>
    <tableColumn id="2" xr3:uid="{00000000-0010-0000-0800-000002000000}" name="Application ID"/>
    <tableColumn id="3" xr3:uid="{00000000-0010-0000-0800-000003000000}" name="Tenant ID"/>
    <tableColumn id="4" xr3:uid="{00000000-0010-0000-0800-000004000000}" name="Property ID"/>
    <tableColumn id="5" xr3:uid="{00000000-0010-0000-0800-000005000000}" name="Owner Approval Required?"/>
    <tableColumn id="6" xr3:uid="{00000000-0010-0000-0800-000006000000}" name="Owner Decision"/>
    <tableColumn id="7" xr3:uid="{00000000-0010-0000-0800-000007000000}" name="Seventh Sky Recommendation"/>
    <tableColumn id="8" xr3:uid="{00000000-0010-0000-0800-000008000000}" name="Approved Rent"/>
    <tableColumn id="9" xr3:uid="{00000000-0010-0000-0800-000009000000}" name="Lease Start Target"/>
    <tableColumn id="10" xr3:uid="{00000000-0010-0000-0800-00000A000000}" name="Approval Evidence"/>
    <tableColumn id="11" xr3:uid="{00000000-0010-0000-0800-00000B000000}" name="Status"/>
    <tableColumn id="12" xr3:uid="{00000000-0010-0000-0800-00000C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easeRegisterTbl" displayName="LeaseRegisterTbl" ref="A1:Q4">
  <tableColumns count="17">
    <tableColumn id="1" xr3:uid="{00000000-0010-0000-0900-000001000000}" name="Lease ID"/>
    <tableColumn id="2" xr3:uid="{00000000-0010-0000-0900-000002000000}" name="Property ID"/>
    <tableColumn id="3" xr3:uid="{00000000-0010-0000-0900-000003000000}" name="Owner ID"/>
    <tableColumn id="4" xr3:uid="{00000000-0010-0000-0900-000004000000}" name="Tenant ID"/>
    <tableColumn id="5" xr3:uid="{00000000-0010-0000-0900-000005000000}" name="Lease Status"/>
    <tableColumn id="6" xr3:uid="{00000000-0010-0000-0900-000006000000}" name="Lease Start Date"/>
    <tableColumn id="7" xr3:uid="{00000000-0010-0000-0900-000007000000}" name="Lease End Date"/>
    <tableColumn id="8" xr3:uid="{00000000-0010-0000-0900-000008000000}" name="Minimum Lease Period"/>
    <tableColumn id="9" xr3:uid="{00000000-0010-0000-0900-000009000000}" name="Monthly Rent"/>
    <tableColumn id="10" xr3:uid="{00000000-0010-0000-0900-00000A000000}" name="Rent Due Day"/>
    <tableColumn id="11" xr3:uid="{00000000-0010-0000-0900-00000B000000}" name="Payment Method"/>
    <tableColumn id="12" xr3:uid="{00000000-0010-0000-0900-00000C000000}" name="Advance Rent Required"/>
    <tableColumn id="13" xr3:uid="{00000000-0010-0000-0900-00000D000000}" name="Security Deposit Required"/>
    <tableColumn id="14" xr3:uid="{00000000-0010-0000-0900-00000E000000}" name="Agreement Sent Date"/>
    <tableColumn id="15" xr3:uid="{00000000-0010-0000-0900-00000F000000}" name="Signed Date"/>
    <tableColumn id="16" xr3:uid="{00000000-0010-0000-0900-000010000000}" name="Renewal Reminder Date"/>
    <tableColumn id="17" xr3:uid="{00000000-0010-0000-0900-000011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MoveInEntryChecklistTbl" displayName="MoveInEntryChecklistTbl" ref="A1:J10">
  <tableColumns count="10">
    <tableColumn id="1" xr3:uid="{00000000-0010-0000-0A00-000001000000}" name="Move-In ID"/>
    <tableColumn id="2" xr3:uid="{00000000-0010-0000-0A00-000002000000}" name="Lease ID"/>
    <tableColumn id="3" xr3:uid="{00000000-0010-0000-0A00-000003000000}" name="Tenant ID"/>
    <tableColumn id="4" xr3:uid="{00000000-0010-0000-0A00-000004000000}" name="Property ID"/>
    <tableColumn id="5" xr3:uid="{00000000-0010-0000-0A00-000005000000}" name="Checklist Item"/>
    <tableColumn id="6" xr3:uid="{00000000-0010-0000-0A00-000006000000}" name="Required?"/>
    <tableColumn id="7" xr3:uid="{00000000-0010-0000-0A00-000007000000}" name="Status"/>
    <tableColumn id="8" xr3:uid="{00000000-0010-0000-0A00-000008000000}" name="Evidence Required"/>
    <tableColumn id="9" xr3:uid="{00000000-0010-0000-0A00-000009000000}" name="Responsible"/>
    <tableColumn id="10" xr3:uid="{00000000-0010-0000-0A00-00000A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ntCollectionRegisterTbl" displayName="RentCollectionRegisterTbl" ref="A1:R6">
  <tableColumns count="18">
    <tableColumn id="1" xr3:uid="{00000000-0010-0000-0B00-000001000000}" name="Rent ID"/>
    <tableColumn id="2" xr3:uid="{00000000-0010-0000-0B00-000002000000}" name="Lease ID"/>
    <tableColumn id="3" xr3:uid="{00000000-0010-0000-0B00-000003000000}" name="Property ID"/>
    <tableColumn id="4" xr3:uid="{00000000-0010-0000-0B00-000004000000}" name="Owner ID"/>
    <tableColumn id="5" xr3:uid="{00000000-0010-0000-0B00-000005000000}" name="Tenant ID"/>
    <tableColumn id="6" xr3:uid="{00000000-0010-0000-0B00-000006000000}" name="Month"/>
    <tableColumn id="7" xr3:uid="{00000000-0010-0000-0B00-000007000000}" name="Due Date"/>
    <tableColumn id="8" xr3:uid="{00000000-0010-0000-0B00-000008000000}" name="Monthly Rent"/>
    <tableColumn id="9" xr3:uid="{00000000-0010-0000-0B00-000009000000}" name="Opening Arrears"/>
    <tableColumn id="10" xr3:uid="{00000000-0010-0000-0B00-00000A000000}" name="Amount Due"/>
    <tableColumn id="11" xr3:uid="{00000000-0010-0000-0B00-00000B000000}" name="Amount Received"/>
    <tableColumn id="12" xr3:uid="{00000000-0010-0000-0B00-00000C000000}" name="Receipt No"/>
    <tableColumn id="13" xr3:uid="{00000000-0010-0000-0B00-00000D000000}" name="Payment Date"/>
    <tableColumn id="14" xr3:uid="{00000000-0010-0000-0B00-00000E000000}" name="Arrears Balance"/>
    <tableColumn id="15" xr3:uid="{00000000-0010-0000-0B00-00000F000000}" name="Days Overdue"/>
    <tableColumn id="16" xr3:uid="{00000000-0010-0000-0B00-000010000000}" name="Payment Status"/>
    <tableColumn id="17" xr3:uid="{00000000-0010-0000-0B00-000011000000}" name="Reminder Stage"/>
    <tableColumn id="18" xr3:uid="{00000000-0010-0000-0B00-000012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OwnerDisbursementRegisTbl" displayName="OwnerDisbursementRegisTbl" ref="A1:R5">
  <tableColumns count="18">
    <tableColumn id="1" xr3:uid="{00000000-0010-0000-0C00-000001000000}" name="Disbursement ID"/>
    <tableColumn id="2" xr3:uid="{00000000-0010-0000-0C00-000002000000}" name="Owner ID"/>
    <tableColumn id="3" xr3:uid="{00000000-0010-0000-0C00-000003000000}" name="Property ID"/>
    <tableColumn id="4" xr3:uid="{00000000-0010-0000-0C00-000004000000}" name="Period"/>
    <tableColumn id="5" xr3:uid="{00000000-0010-0000-0C00-000005000000}" name="Rent Collected"/>
    <tableColumn id="6" xr3:uid="{00000000-0010-0000-0C00-000006000000}" name="Opening Arrears Recovered"/>
    <tableColumn id="7" xr3:uid="{00000000-0010-0000-0C00-000007000000}" name="Management Fee %"/>
    <tableColumn id="8" xr3:uid="{00000000-0010-0000-0C00-000008000000}" name="Management Fee"/>
    <tableColumn id="9" xr3:uid="{00000000-0010-0000-0C00-000009000000}" name="Approved Maintenance"/>
    <tableColumn id="10" xr3:uid="{00000000-0010-0000-0C00-00000A000000}" name="Utilities / Bills"/>
    <tableColumn id="11" xr3:uid="{00000000-0010-0000-0C00-00000B000000}" name="Other Approved Deductions"/>
    <tableColumn id="12" xr3:uid="{00000000-0010-0000-0C00-00000C000000}" name="Total Deductions"/>
    <tableColumn id="13" xr3:uid="{00000000-0010-0000-0C00-00000D000000}" name="Net Owner Disbursement"/>
    <tableColumn id="14" xr3:uid="{00000000-0010-0000-0C00-00000E000000}" name="Owner Bank"/>
    <tableColumn id="15" xr3:uid="{00000000-0010-0000-0C00-00000F000000}" name="Statement Sent?"/>
    <tableColumn id="16" xr3:uid="{00000000-0010-0000-0C00-000010000000}" name="Payment Date"/>
    <tableColumn id="17" xr3:uid="{00000000-0010-0000-0C00-000011000000}" name="Disbursement Status"/>
    <tableColumn id="18" xr3:uid="{00000000-0010-0000-0C00-000012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OwnerStatementTemplateTbl" displayName="OwnerStatementTemplateTbl" ref="A1:C15">
  <tableColumns count="3">
    <tableColumn id="1" xr3:uid="{00000000-0010-0000-0D00-000001000000}" name="Statement Field"/>
    <tableColumn id="2" xr3:uid="{00000000-0010-0000-0D00-000002000000}" name="Value / Formula / Input"/>
    <tableColumn id="3" xr3:uid="{00000000-0010-0000-0D00-000003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ArrearsTrackerTbl" displayName="ArrearsTrackerTbl" ref="A1:O4">
  <tableColumns count="15">
    <tableColumn id="1" xr3:uid="{00000000-0010-0000-0E00-000001000000}" name="Arrears ID"/>
    <tableColumn id="2" xr3:uid="{00000000-0010-0000-0E00-000002000000}" name="Rent ID"/>
    <tableColumn id="3" xr3:uid="{00000000-0010-0000-0E00-000003000000}" name="Tenant ID"/>
    <tableColumn id="4" xr3:uid="{00000000-0010-0000-0E00-000004000000}" name="Property ID"/>
    <tableColumn id="5" xr3:uid="{00000000-0010-0000-0E00-000005000000}" name="Owner ID"/>
    <tableColumn id="6" xr3:uid="{00000000-0010-0000-0E00-000006000000}" name="Due Date"/>
    <tableColumn id="7" xr3:uid="{00000000-0010-0000-0E00-000007000000}" name="Amount Due"/>
    <tableColumn id="8" xr3:uid="{00000000-0010-0000-0E00-000008000000}" name="Amount Received"/>
    <tableColumn id="9" xr3:uid="{00000000-0010-0000-0E00-000009000000}" name="Outstanding"/>
    <tableColumn id="10" xr3:uid="{00000000-0010-0000-0E00-00000A000000}" name="Days Overdue"/>
    <tableColumn id="11" xr3:uid="{00000000-0010-0000-0E00-00000B000000}" name="Reminder Sent Date"/>
    <tableColumn id="12" xr3:uid="{00000000-0010-0000-0E00-00000C000000}" name="Notice Issued?"/>
    <tableColumn id="13" xr3:uid="{00000000-0010-0000-0E00-00000D000000}" name="Escalation Level"/>
    <tableColumn id="14" xr3:uid="{00000000-0010-0000-0E00-00000E000000}" name="Action Required"/>
    <tableColumn id="15" xr3:uid="{00000000-0010-0000-0E00-00000F000000}" name="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BondDepositRegisterTbl" displayName="BondDepositRegisterTbl" ref="A1:N4">
  <tableColumns count="14">
    <tableColumn id="1" xr3:uid="{00000000-0010-0000-0F00-000001000000}" name="Bond ID"/>
    <tableColumn id="2" xr3:uid="{00000000-0010-0000-0F00-000002000000}" name="Lease ID"/>
    <tableColumn id="3" xr3:uid="{00000000-0010-0000-0F00-000003000000}" name="Tenant ID"/>
    <tableColumn id="4" xr3:uid="{00000000-0010-0000-0F00-000004000000}" name="Property ID"/>
    <tableColumn id="5" xr3:uid="{00000000-0010-0000-0F00-000005000000}" name="Monthly Rent"/>
    <tableColumn id="6" xr3:uid="{00000000-0010-0000-0F00-000006000000}" name="Advance Rent Required"/>
    <tableColumn id="7" xr3:uid="{00000000-0010-0000-0F00-000007000000}" name="Security Deposit Required"/>
    <tableColumn id="8" xr3:uid="{00000000-0010-0000-0F00-000008000000}" name="Advance Rent Received"/>
    <tableColumn id="9" xr3:uid="{00000000-0010-0000-0F00-000009000000}" name="Security Deposit Received"/>
    <tableColumn id="10" xr3:uid="{00000000-0010-0000-0F00-00000A000000}" name="Total Received Before Move-In"/>
    <tableColumn id="11" xr3:uid="{00000000-0010-0000-0F00-00000B000000}" name="Receipt Evidence"/>
    <tableColumn id="12" xr3:uid="{00000000-0010-0000-0F00-00000C000000}" name="Bond Status"/>
    <tableColumn id="13" xr3:uid="{00000000-0010-0000-0F00-00000D000000}" name="Refund/Deduction Status"/>
    <tableColumn id="14" xr3:uid="{00000000-0010-0000-0F00-00000E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BondAdjustmentRefundTbl" displayName="BondAdjustmentRefundTbl" ref="A1:Q3">
  <tableColumns count="17">
    <tableColumn id="1" xr3:uid="{00000000-0010-0000-1000-000001000000}" name="Adjustment ID"/>
    <tableColumn id="2" xr3:uid="{00000000-0010-0000-1000-000002000000}" name="Lease ID"/>
    <tableColumn id="3" xr3:uid="{00000000-0010-0000-1000-000003000000}" name="Tenant ID"/>
    <tableColumn id="4" xr3:uid="{00000000-0010-0000-1000-000004000000}" name="Property ID"/>
    <tableColumn id="5" xr3:uid="{00000000-0010-0000-1000-000005000000}" name="Exit Inspection Date"/>
    <tableColumn id="6" xr3:uid="{00000000-0010-0000-1000-000006000000}" name="Unpaid Rent"/>
    <tableColumn id="7" xr3:uid="{00000000-0010-0000-1000-000007000000}" name="Unpaid Bills"/>
    <tableColumn id="8" xr3:uid="{00000000-0010-0000-1000-000008000000}" name="Damage Repair Cost"/>
    <tableColumn id="9" xr3:uid="{00000000-0010-0000-1000-000009000000}" name="Cleaning Cost"/>
    <tableColumn id="10" xr3:uid="{00000000-0010-0000-1000-00000A000000}" name="Replacement Cost"/>
    <tableColumn id="11" xr3:uid="{00000000-0010-0000-1000-00000B000000}" name="Other Deductions"/>
    <tableColumn id="12" xr3:uid="{00000000-0010-0000-1000-00000C000000}" name="Total Deductions"/>
    <tableColumn id="13" xr3:uid="{00000000-0010-0000-1000-00000D000000}" name="Bond Held"/>
    <tableColumn id="14" xr3:uid="{00000000-0010-0000-1000-00000E000000}" name="Refund Amount"/>
    <tableColumn id="15" xr3:uid="{00000000-0010-0000-1000-00000F000000}" name="Owner/Tenant Approval"/>
    <tableColumn id="16" xr3:uid="{00000000-0010-0000-1000-000010000000}" name="Status"/>
    <tableColumn id="17" xr3:uid="{00000000-0010-0000-1000-000011000000}" name="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InspectionRegisterTbl" displayName="InspectionRegisterTbl" ref="A1:N4">
  <tableColumns count="14">
    <tableColumn id="1" xr3:uid="{00000000-0010-0000-1100-000001000000}" name="Inspection ID"/>
    <tableColumn id="2" xr3:uid="{00000000-0010-0000-1100-000002000000}" name="Property ID"/>
    <tableColumn id="3" xr3:uid="{00000000-0010-0000-1100-000003000000}" name="Lease ID"/>
    <tableColumn id="4" xr3:uid="{00000000-0010-0000-1100-000004000000}" name="Tenant ID"/>
    <tableColumn id="5" xr3:uid="{00000000-0010-0000-1100-000005000000}" name="Owner ID"/>
    <tableColumn id="6" xr3:uid="{00000000-0010-0000-1100-000006000000}" name="Inspection Type"/>
    <tableColumn id="7" xr3:uid="{00000000-0010-0000-1100-000007000000}" name="Scheduled Date"/>
    <tableColumn id="8" xr3:uid="{00000000-0010-0000-1100-000008000000}" name="Completed Date"/>
    <tableColumn id="9" xr3:uid="{00000000-0010-0000-1100-000009000000}" name="Inspector"/>
    <tableColumn id="10" xr3:uid="{00000000-0010-0000-1100-00000A000000}" name="Photo/Video Evidence"/>
    <tableColumn id="11" xr3:uid="{00000000-0010-0000-1100-00000B000000}" name="Findings Summary"/>
    <tableColumn id="12" xr3:uid="{00000000-0010-0000-1100-00000C000000}" name="Follow-Up Required"/>
    <tableColumn id="13" xr3:uid="{00000000-0010-0000-1100-00000D000000}" name="Report Sent to Owner?"/>
    <tableColumn id="14" xr3:uid="{00000000-0010-0000-1100-00000E000000}" name="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EntryInspectionCheckliTbl" displayName="EntryInspectionCheckliTbl" ref="A1:J11">
  <tableColumns count="10">
    <tableColumn id="1" xr3:uid="{00000000-0010-0000-1200-000001000000}" name="Checklist ID"/>
    <tableColumn id="2" xr3:uid="{00000000-0010-0000-1200-000002000000}" name="Inspection ID"/>
    <tableColumn id="3" xr3:uid="{00000000-0010-0000-1200-000003000000}" name="Area / Category"/>
    <tableColumn id="4" xr3:uid="{00000000-0010-0000-1200-000004000000}" name="Item to Check"/>
    <tableColumn id="5" xr3:uid="{00000000-0010-0000-1200-000005000000}" name="Required?"/>
    <tableColumn id="6" xr3:uid="{00000000-0010-0000-1200-000006000000}" name="Finding"/>
    <tableColumn id="7" xr3:uid="{00000000-0010-0000-1200-000007000000}" name="Photo Required?"/>
    <tableColumn id="8" xr3:uid="{00000000-0010-0000-1200-000008000000}" name="Condition Rating"/>
    <tableColumn id="9" xr3:uid="{00000000-0010-0000-1200-000009000000}" name="Action Required"/>
    <tableColumn id="10" xr3:uid="{00000000-0010-0000-1200-00000A000000}" name="Responsibl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RoutineInspectionCheckTbl" displayName="RoutineInspectionCheckTbl" ref="A1:J9">
  <tableColumns count="10">
    <tableColumn id="1" xr3:uid="{00000000-0010-0000-1300-000001000000}" name="Checklist ID"/>
    <tableColumn id="2" xr3:uid="{00000000-0010-0000-1300-000002000000}" name="Inspection ID"/>
    <tableColumn id="3" xr3:uid="{00000000-0010-0000-1300-000003000000}" name="Area / Category"/>
    <tableColumn id="4" xr3:uid="{00000000-0010-0000-1300-000004000000}" name="Item to Check"/>
    <tableColumn id="5" xr3:uid="{00000000-0010-0000-1300-000005000000}" name="Required?"/>
    <tableColumn id="6" xr3:uid="{00000000-0010-0000-1300-000006000000}" name="Finding"/>
    <tableColumn id="7" xr3:uid="{00000000-0010-0000-1300-000007000000}" name="Photo Required?"/>
    <tableColumn id="8" xr3:uid="{00000000-0010-0000-1300-000008000000}" name="Risk Rating"/>
    <tableColumn id="9" xr3:uid="{00000000-0010-0000-1300-000009000000}" name="Action Required"/>
    <tableColumn id="10" xr3:uid="{00000000-0010-0000-1300-00000A000000}" name="Responsibl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ExitInspectionChecklisTbl" displayName="ExitInspectionChecklisTbl" ref="A1:J9">
  <tableColumns count="10">
    <tableColumn id="1" xr3:uid="{00000000-0010-0000-1400-000001000000}" name="Checklist ID"/>
    <tableColumn id="2" xr3:uid="{00000000-0010-0000-1400-000002000000}" name="Inspection ID"/>
    <tableColumn id="3" xr3:uid="{00000000-0010-0000-1400-000003000000}" name="Area / Category"/>
    <tableColumn id="4" xr3:uid="{00000000-0010-0000-1400-000004000000}" name="Item to Check"/>
    <tableColumn id="5" xr3:uid="{00000000-0010-0000-1400-000005000000}" name="Required?"/>
    <tableColumn id="6" xr3:uid="{00000000-0010-0000-1400-000006000000}" name="Finding"/>
    <tableColumn id="7" xr3:uid="{00000000-0010-0000-1400-000007000000}" name="Photo Required?"/>
    <tableColumn id="8" xr3:uid="{00000000-0010-0000-1400-000008000000}" name="Deduction Required?"/>
    <tableColumn id="9" xr3:uid="{00000000-0010-0000-1400-000009000000}" name="Action Required"/>
    <tableColumn id="10" xr3:uid="{00000000-0010-0000-1400-00000A000000}" name="Responsibl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MaintenanceRegisterTbl" displayName="MaintenanceRegisterTbl" ref="A1:R4">
  <tableColumns count="18">
    <tableColumn id="1" xr3:uid="{00000000-0010-0000-1500-000001000000}" name="Maintenance ID"/>
    <tableColumn id="2" xr3:uid="{00000000-0010-0000-1500-000002000000}" name="Property ID"/>
    <tableColumn id="3" xr3:uid="{00000000-0010-0000-1500-000003000000}" name="Lease ID"/>
    <tableColumn id="4" xr3:uid="{00000000-0010-0000-1500-000004000000}" name="Tenant ID"/>
    <tableColumn id="5" xr3:uid="{00000000-0010-0000-1500-000005000000}" name="Owner ID"/>
    <tableColumn id="6" xr3:uid="{00000000-0010-0000-1500-000006000000}" name="Request Date"/>
    <tableColumn id="7" xr3:uid="{00000000-0010-0000-1500-000007000000}" name="Issue Type"/>
    <tableColumn id="8" xr3:uid="{00000000-0010-0000-1500-000008000000}" name="Issue Description"/>
    <tableColumn id="9" xr3:uid="{00000000-0010-0000-1500-000009000000}" name="Priority"/>
    <tableColumn id="10" xr3:uid="{00000000-0010-0000-1500-00000A000000}" name="Included Monthly Request?"/>
    <tableColumn id="11" xr3:uid="{00000000-0010-0000-1500-00000B000000}" name="Owner Approval Required?"/>
    <tableColumn id="12" xr3:uid="{00000000-0010-0000-1500-00000C000000}" name="Approved Budget"/>
    <tableColumn id="13" xr3:uid="{00000000-0010-0000-1500-00000D000000}" name="Assigned Provider"/>
    <tableColumn id="14" xr3:uid="{00000000-0010-0000-1500-00000E000000}" name="Estimated Cost"/>
    <tableColumn id="15" xr3:uid="{00000000-0010-0000-1500-00000F000000}" name="Actual Cost"/>
    <tableColumn id="16" xr3:uid="{00000000-0010-0000-1500-000010000000}" name="Before/After Photos"/>
    <tableColumn id="17" xr3:uid="{00000000-0010-0000-1500-000011000000}" name="Status"/>
    <tableColumn id="18" xr3:uid="{00000000-0010-0000-1500-000012000000}" name="Not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ExpenseApprovalRegisteTbl" displayName="ExpenseApprovalRegisteTbl" ref="A1:O4">
  <tableColumns count="15">
    <tableColumn id="1" xr3:uid="{00000000-0010-0000-1600-000001000000}" name="Expense ID"/>
    <tableColumn id="2" xr3:uid="{00000000-0010-0000-1600-000002000000}" name="Property ID"/>
    <tableColumn id="3" xr3:uid="{00000000-0010-0000-1600-000003000000}" name="Owner ID"/>
    <tableColumn id="4" xr3:uid="{00000000-0010-0000-1600-000004000000}" name="Related Maintenance ID"/>
    <tableColumn id="5" xr3:uid="{00000000-0010-0000-1600-000005000000}" name="Expense Type"/>
    <tableColumn id="6" xr3:uid="{00000000-0010-0000-1600-000006000000}" name="Description"/>
    <tableColumn id="7" xr3:uid="{00000000-0010-0000-1600-000007000000}" name="Estimated Amount"/>
    <tableColumn id="8" xr3:uid="{00000000-0010-0000-1600-000008000000}" name="Owner Approval Required?"/>
    <tableColumn id="9" xr3:uid="{00000000-0010-0000-1600-000009000000}" name="Approval Method"/>
    <tableColumn id="10" xr3:uid="{00000000-0010-0000-1600-00000A000000}" name="Approved By"/>
    <tableColumn id="11" xr3:uid="{00000000-0010-0000-1600-00000B000000}" name="Approval Date"/>
    <tableColumn id="12" xr3:uid="{00000000-0010-0000-1600-00000C000000}" name="Invoice Received?"/>
    <tableColumn id="13" xr3:uid="{00000000-0010-0000-1600-00000D000000}" name="Deduct From Rent?"/>
    <tableColumn id="14" xr3:uid="{00000000-0010-0000-1600-00000E000000}" name="Status"/>
    <tableColumn id="15" xr3:uid="{00000000-0010-0000-1600-00000F000000}" name="Not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enantRequestRegisterTbl" displayName="TenantRequestRegisterTbl" ref="A1:L4">
  <tableColumns count="12">
    <tableColumn id="1" xr3:uid="{00000000-0010-0000-1700-000001000000}" name="Request ID"/>
    <tableColumn id="2" xr3:uid="{00000000-0010-0000-1700-000002000000}" name="Tenant ID"/>
    <tableColumn id="3" xr3:uid="{00000000-0010-0000-1700-000003000000}" name="Property ID"/>
    <tableColumn id="4" xr3:uid="{00000000-0010-0000-1700-000004000000}" name="Lease ID"/>
    <tableColumn id="5" xr3:uid="{00000000-0010-0000-1700-000005000000}" name="Request Date"/>
    <tableColumn id="6" xr3:uid="{00000000-0010-0000-1700-000006000000}" name="Request Type"/>
    <tableColumn id="7" xr3:uid="{00000000-0010-0000-1700-000007000000}" name="Details"/>
    <tableColumn id="8" xr3:uid="{00000000-0010-0000-1700-000008000000}" name="Priority"/>
    <tableColumn id="9" xr3:uid="{00000000-0010-0000-1700-000009000000}" name="Assigned To"/>
    <tableColumn id="10" xr3:uid="{00000000-0010-0000-1700-00000A000000}" name="Owner Approval Required?"/>
    <tableColumn id="11" xr3:uid="{00000000-0010-0000-1700-00000B000000}" name="Status"/>
    <tableColumn id="12" xr3:uid="{00000000-0010-0000-1700-00000C000000}" name="Resolution 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UtilityBillsRegisterTbl" displayName="UtilityBillsRegisterTbl" ref="A1:N4">
  <tableColumns count="14">
    <tableColumn id="1" xr3:uid="{00000000-0010-0000-1800-000001000000}" name="Utility ID"/>
    <tableColumn id="2" xr3:uid="{00000000-0010-0000-1800-000002000000}" name="Property ID"/>
    <tableColumn id="3" xr3:uid="{00000000-0010-0000-1800-000003000000}" name="Lease ID"/>
    <tableColumn id="4" xr3:uid="{00000000-0010-0000-1800-000004000000}" name="Tenant ID"/>
    <tableColumn id="5" xr3:uid="{00000000-0010-0000-1800-000005000000}" name="Utility Type"/>
    <tableColumn id="6" xr3:uid="{00000000-0010-0000-1800-000006000000}" name="Responsibility"/>
    <tableColumn id="7" xr3:uid="{00000000-0010-0000-1800-000007000000}" name="Account/Provider"/>
    <tableColumn id="8" xr3:uid="{00000000-0010-0000-1800-000008000000}" name="Bill Period"/>
    <tableColumn id="9" xr3:uid="{00000000-0010-0000-1800-000009000000}" name="Amount"/>
    <tableColumn id="10" xr3:uid="{00000000-0010-0000-1800-00000A000000}" name="Due Date"/>
    <tableColumn id="11" xr3:uid="{00000000-0010-0000-1800-00000B000000}" name="Paid By"/>
    <tableColumn id="12" xr3:uid="{00000000-0010-0000-1800-00000C000000}" name="Payment Status"/>
    <tableColumn id="13" xr3:uid="{00000000-0010-0000-1800-00000D000000}" name="Evidence"/>
    <tableColumn id="14" xr3:uid="{00000000-0010-0000-1800-00000E000000}" name="Note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OccupantSublettingRegiTbl" displayName="OccupantSublettingRegiTbl" ref="A1:M4">
  <tableColumns count="13">
    <tableColumn id="1" xr3:uid="{00000000-0010-0000-1900-000001000000}" name="Record ID"/>
    <tableColumn id="2" xr3:uid="{00000000-0010-0000-1900-000002000000}" name="Tenant ID"/>
    <tableColumn id="3" xr3:uid="{00000000-0010-0000-1900-000003000000}" name="Lease ID"/>
    <tableColumn id="4" xr3:uid="{00000000-0010-0000-1900-000004000000}" name="Property ID"/>
    <tableColumn id="5" xr3:uid="{00000000-0010-0000-1900-000005000000}" name="Occupant Name"/>
    <tableColumn id="6" xr3:uid="{00000000-0010-0000-1900-000006000000}" name="Relationship"/>
    <tableColumn id="7" xr3:uid="{00000000-0010-0000-1900-000007000000}" name="ID Received?"/>
    <tableColumn id="8" xr3:uid="{00000000-0010-0000-1900-000008000000}" name="Contact"/>
    <tableColumn id="9" xr3:uid="{00000000-0010-0000-1900-000009000000}" name="Occupation"/>
    <tableColumn id="10" xr3:uid="{00000000-0010-0000-1900-00000A000000}" name="Approved Occupant?"/>
    <tableColumn id="11" xr3:uid="{00000000-0010-0000-1900-00000B000000}" name="Subletting Concern?"/>
    <tableColumn id="12" xr3:uid="{00000000-0010-0000-1900-00000C000000}" name="Updated Date"/>
    <tableColumn id="13" xr3:uid="{00000000-0010-0000-1900-00000D000000}" name="Not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NonCircumventionRegistTbl" displayName="NonCircumventionRegistTbl" ref="A1:L4">
  <tableColumns count="12">
    <tableColumn id="1" xr3:uid="{00000000-0010-0000-1A00-000001000000}" name="Record ID"/>
    <tableColumn id="2" xr3:uid="{00000000-0010-0000-1A00-000002000000}" name="Owner ID"/>
    <tableColumn id="3" xr3:uid="{00000000-0010-0000-1A00-000003000000}" name="Tenant ID"/>
    <tableColumn id="4" xr3:uid="{00000000-0010-0000-1A00-000004000000}" name="Property ID"/>
    <tableColumn id="5" xr3:uid="{00000000-0010-0000-1A00-000005000000}" name="Lease ID"/>
    <tableColumn id="6" xr3:uid="{00000000-0010-0000-1A00-000006000000}" name="Protected Relationship"/>
    <tableColumn id="7" xr3:uid="{00000000-0010-0000-1A00-000007000000}" name="Introduction Date"/>
    <tableColumn id="8" xr3:uid="{00000000-0010-0000-1A00-000008000000}" name="Protection Basis"/>
    <tableColumn id="9" xr3:uid="{00000000-0010-0000-1A00-000009000000}" name="Direct Communication Allowed?"/>
    <tableColumn id="10" xr3:uid="{00000000-0010-0000-1A00-00000A000000}" name="Breach Risk"/>
    <tableColumn id="11" xr3:uid="{00000000-0010-0000-1A00-00000B000000}" name="Monitoring Notes"/>
    <tableColumn id="12" xr3:uid="{00000000-0010-0000-1A00-00000C000000}" name="Statu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ommunicationLogTbl" displayName="CommunicationLogTbl" ref="A1:M5">
  <tableColumns count="13">
    <tableColumn id="1" xr3:uid="{00000000-0010-0000-1B00-000001000000}" name="Log ID"/>
    <tableColumn id="2" xr3:uid="{00000000-0010-0000-1B00-000002000000}" name="Date"/>
    <tableColumn id="3" xr3:uid="{00000000-0010-0000-1B00-000003000000}" name="Related To"/>
    <tableColumn id="4" xr3:uid="{00000000-0010-0000-1B00-000004000000}" name="Owner ID"/>
    <tableColumn id="5" xr3:uid="{00000000-0010-0000-1B00-000005000000}" name="Tenant ID"/>
    <tableColumn id="6" xr3:uid="{00000000-0010-0000-1B00-000006000000}" name="Property ID"/>
    <tableColumn id="7" xr3:uid="{00000000-0010-0000-1B00-000007000000}" name="Lease ID"/>
    <tableColumn id="8" xr3:uid="{00000000-0010-0000-1B00-000008000000}" name="Communication Channel"/>
    <tableColumn id="9" xr3:uid="{00000000-0010-0000-1B00-000009000000}" name="Summary"/>
    <tableColumn id="10" xr3:uid="{00000000-0010-0000-1B00-00000A000000}" name="Action Required"/>
    <tableColumn id="11" xr3:uid="{00000000-0010-0000-1B00-00000B000000}" name="Responsible"/>
    <tableColumn id="12" xr3:uid="{00000000-0010-0000-1B00-00000C000000}" name="Due Date"/>
    <tableColumn id="13" xr3:uid="{00000000-0010-0000-1B00-00000D000000}" name="Statu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RenewalRegisterTbl" displayName="RenewalRegisterTbl" ref="A1:N3">
  <tableColumns count="14">
    <tableColumn id="1" xr3:uid="{00000000-0010-0000-1C00-000001000000}" name="Renewal ID"/>
    <tableColumn id="2" xr3:uid="{00000000-0010-0000-1C00-000002000000}" name="Lease ID"/>
    <tableColumn id="3" xr3:uid="{00000000-0010-0000-1C00-000003000000}" name="Property ID"/>
    <tableColumn id="4" xr3:uid="{00000000-0010-0000-1C00-000004000000}" name="Owner ID"/>
    <tableColumn id="5" xr3:uid="{00000000-0010-0000-1C00-000005000000}" name="Tenant ID"/>
    <tableColumn id="6" xr3:uid="{00000000-0010-0000-1C00-000006000000}" name="Lease End Date"/>
    <tableColumn id="7" xr3:uid="{00000000-0010-0000-1C00-000007000000}" name="Renewal Reminder Date"/>
    <tableColumn id="8" xr3:uid="{00000000-0010-0000-1C00-000008000000}" name="Tenant History Satisfactory?"/>
    <tableColumn id="9" xr3:uid="{00000000-0010-0000-1C00-000009000000}" name="Owner Approval"/>
    <tableColumn id="10" xr3:uid="{00000000-0010-0000-1C00-00000A000000}" name="Updated Rent Proposed"/>
    <tableColumn id="11" xr3:uid="{00000000-0010-0000-1C00-00000B000000}" name="Renewal Decision"/>
    <tableColumn id="12" xr3:uid="{00000000-0010-0000-1C00-00000C000000}" name="New Lease Start"/>
    <tableColumn id="13" xr3:uid="{00000000-0010-0000-1C00-00000D000000}" name="Status"/>
    <tableColumn id="14" xr3:uid="{00000000-0010-0000-1C00-00000E000000}" name="Note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erminationVacancyTbl" displayName="TerminationVacancyTbl" ref="A1:N3">
  <tableColumns count="14">
    <tableColumn id="1" xr3:uid="{00000000-0010-0000-1D00-000001000000}" name="Termination ID"/>
    <tableColumn id="2" xr3:uid="{00000000-0010-0000-1D00-000002000000}" name="Lease ID"/>
    <tableColumn id="3" xr3:uid="{00000000-0010-0000-1D00-000003000000}" name="Property ID"/>
    <tableColumn id="4" xr3:uid="{00000000-0010-0000-1D00-000004000000}" name="Owner ID"/>
    <tableColumn id="5" xr3:uid="{00000000-0010-0000-1D00-000005000000}" name="Tenant ID"/>
    <tableColumn id="6" xr3:uid="{00000000-0010-0000-1D00-000006000000}" name="Notice Type"/>
    <tableColumn id="7" xr3:uid="{00000000-0010-0000-1D00-000007000000}" name="Notice Received Date"/>
    <tableColumn id="8" xr3:uid="{00000000-0010-0000-1D00-000008000000}" name="Intended Vacate Date"/>
    <tableColumn id="9" xr3:uid="{00000000-0010-0000-1D00-000009000000}" name="Notice Period Met?"/>
    <tableColumn id="10" xr3:uid="{00000000-0010-0000-1D00-00000A000000}" name="Reason"/>
    <tableColumn id="11" xr3:uid="{00000000-0010-0000-1D00-00000B000000}" name="Early Termination Costs?"/>
    <tableColumn id="12" xr3:uid="{00000000-0010-0000-1D00-00000C000000}" name="Replacement Tenant Required?"/>
    <tableColumn id="13" xr3:uid="{00000000-0010-0000-1D00-00000D000000}" name="Status"/>
    <tableColumn id="14" xr3:uid="{00000000-0010-0000-1D00-00000E000000}" name="Note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RiskRegisterTbl" displayName="RiskRegisterTbl" ref="A1:J9">
  <tableColumns count="10">
    <tableColumn id="1" xr3:uid="{00000000-0010-0000-1E00-000001000000}" name="Risk ID"/>
    <tableColumn id="2" xr3:uid="{00000000-0010-0000-1E00-000002000000}" name="Risk Category"/>
    <tableColumn id="3" xr3:uid="{00000000-0010-0000-1E00-000003000000}" name="Description"/>
    <tableColumn id="4" xr3:uid="{00000000-0010-0000-1E00-000004000000}" name="Likelihood"/>
    <tableColumn id="5" xr3:uid="{00000000-0010-0000-1E00-000005000000}" name="Impact"/>
    <tableColumn id="6" xr3:uid="{00000000-0010-0000-1E00-000006000000}" name="Risk Rating"/>
    <tableColumn id="7" xr3:uid="{00000000-0010-0000-1E00-000007000000}" name="Mitigation / Control"/>
    <tableColumn id="8" xr3:uid="{00000000-0010-0000-1E00-000008000000}" name="Owner"/>
    <tableColumn id="9" xr3:uid="{00000000-0010-0000-1E00-000009000000}" name="Review Date"/>
    <tableColumn id="10" xr3:uid="{00000000-0010-0000-1E00-00000A000000}" name="Statu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KPIDashboardDataTbl" displayName="KPIDashboardDataTbl" ref="A1:G15">
  <tableColumns count="7">
    <tableColumn id="1" xr3:uid="{00000000-0010-0000-1F00-000001000000}" name="KPI"/>
    <tableColumn id="2" xr3:uid="{00000000-0010-0000-1F00-000002000000}" name="Target"/>
    <tableColumn id="3" xr3:uid="{00000000-0010-0000-1F00-000003000000}" name="Current Value"/>
    <tableColumn id="4" xr3:uid="{00000000-0010-0000-1F00-000004000000}" name="Data Source"/>
    <tableColumn id="5" xr3:uid="{00000000-0010-0000-1F00-000005000000}" name="Responsible"/>
    <tableColumn id="6" xr3:uid="{00000000-0010-0000-1F00-000006000000}" name="Review Frequency"/>
    <tableColumn id="7" xr3:uid="{00000000-0010-0000-1F00-000007000000}" name="Note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CRMMappingforRenetechTbl" displayName="CRMMappingforRenetechTbl" ref="A1:G17">
  <tableColumns count="7">
    <tableColumn id="1" xr3:uid="{00000000-0010-0000-2000-000001000000}" name="CRM Module"/>
    <tableColumn id="2" xr3:uid="{00000000-0010-0000-2000-000002000000}" name="Required Fields / Features"/>
    <tableColumn id="3" xr3:uid="{00000000-0010-0000-2000-000003000000}" name="Workflow Trigger"/>
    <tableColumn id="4" xr3:uid="{00000000-0010-0000-2000-000004000000}" name="Automation Requirement"/>
    <tableColumn id="5" xr3:uid="{00000000-0010-0000-2000-000005000000}" name="User Role"/>
    <tableColumn id="6" xr3:uid="{00000000-0010-0000-2000-000006000000}" name="Priority"/>
    <tableColumn id="7" xr3:uid="{00000000-0010-0000-20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sqref="A1:H1"/>
    </sheetView>
  </sheetViews>
  <sheetFormatPr defaultRowHeight="13.5"/>
  <cols>
    <col min="1" max="3" width="26" customWidth="1"/>
    <col min="4" max="5" width="24" customWidth="1"/>
    <col min="6" max="8" width="26" customWidth="1"/>
  </cols>
  <sheetData>
    <row r="1" spans="1:8" ht="17.649999999999999">
      <c r="A1" s="11" t="s">
        <v>0</v>
      </c>
      <c r="B1" s="12"/>
      <c r="C1" s="12"/>
      <c r="D1" s="12"/>
      <c r="E1" s="12"/>
      <c r="F1" s="12"/>
      <c r="G1" s="12"/>
      <c r="H1" s="12"/>
    </row>
    <row r="3" spans="1:8" ht="13.9">
      <c r="A3" s="2" t="s">
        <v>1</v>
      </c>
      <c r="B3" t="s">
        <v>2</v>
      </c>
      <c r="D3" s="13" t="s">
        <v>3</v>
      </c>
      <c r="E3" s="12"/>
      <c r="F3" s="12"/>
      <c r="G3" s="12"/>
      <c r="H3" s="12"/>
    </row>
    <row r="4" spans="1:8" ht="13.9">
      <c r="A4" s="2" t="s">
        <v>4</v>
      </c>
      <c r="B4" t="s">
        <v>5</v>
      </c>
      <c r="D4" s="1" t="s">
        <v>6</v>
      </c>
      <c r="E4" s="1" t="s">
        <v>7</v>
      </c>
    </row>
    <row r="5" spans="1:8" ht="13.9">
      <c r="A5" s="2" t="s">
        <v>8</v>
      </c>
      <c r="B5" t="s">
        <v>9</v>
      </c>
      <c r="D5" t="s">
        <v>10</v>
      </c>
      <c r="E5" t="s">
        <v>11</v>
      </c>
    </row>
    <row r="6" spans="1:8" ht="13.9">
      <c r="A6" s="2" t="s">
        <v>12</v>
      </c>
      <c r="B6" t="s">
        <v>13</v>
      </c>
      <c r="D6" t="s">
        <v>14</v>
      </c>
      <c r="E6" t="s">
        <v>11</v>
      </c>
    </row>
    <row r="7" spans="1:8" ht="13.9">
      <c r="A7" s="2" t="s">
        <v>15</v>
      </c>
      <c r="B7" t="s">
        <v>16</v>
      </c>
      <c r="D7" t="s">
        <v>17</v>
      </c>
      <c r="E7" t="s">
        <v>18</v>
      </c>
    </row>
    <row r="8" spans="1:8" ht="13.9">
      <c r="A8" s="2" t="s">
        <v>19</v>
      </c>
      <c r="B8" t="s">
        <v>20</v>
      </c>
      <c r="D8" t="s">
        <v>21</v>
      </c>
      <c r="E8" t="s">
        <v>22</v>
      </c>
    </row>
    <row r="9" spans="1:8" ht="13.9">
      <c r="A9" s="2" t="s">
        <v>23</v>
      </c>
      <c r="B9" t="s">
        <v>24</v>
      </c>
      <c r="D9" t="s">
        <v>25</v>
      </c>
      <c r="E9" t="s">
        <v>26</v>
      </c>
    </row>
    <row r="10" spans="1:8" ht="13.9">
      <c r="A10" s="2" t="s">
        <v>27</v>
      </c>
      <c r="B10" t="s">
        <v>28</v>
      </c>
      <c r="D10" t="s">
        <v>29</v>
      </c>
      <c r="E10" t="s">
        <v>30</v>
      </c>
    </row>
    <row r="11" spans="1:8" ht="13.9">
      <c r="A11" s="2" t="s">
        <v>31</v>
      </c>
      <c r="B11" t="s">
        <v>32</v>
      </c>
      <c r="D11" t="s">
        <v>33</v>
      </c>
      <c r="E11" t="s">
        <v>34</v>
      </c>
    </row>
    <row r="12" spans="1:8" ht="13.9">
      <c r="A12" s="2" t="s">
        <v>35</v>
      </c>
      <c r="B12" t="s">
        <v>36</v>
      </c>
      <c r="D12" t="s">
        <v>37</v>
      </c>
      <c r="E12" t="s">
        <v>38</v>
      </c>
    </row>
    <row r="13" spans="1:8" ht="13.9">
      <c r="A13" s="2" t="s">
        <v>39</v>
      </c>
      <c r="B13" t="s">
        <v>40</v>
      </c>
    </row>
    <row r="14" spans="1:8" ht="13.9">
      <c r="A14" s="2" t="s">
        <v>41</v>
      </c>
      <c r="B14" t="s">
        <v>42</v>
      </c>
    </row>
    <row r="15" spans="1:8" ht="13.9">
      <c r="A15" s="2" t="s">
        <v>43</v>
      </c>
      <c r="B15" t="s">
        <v>44</v>
      </c>
    </row>
    <row r="16" spans="1:8" ht="13.9">
      <c r="A16" s="2" t="s">
        <v>45</v>
      </c>
      <c r="B16" t="s">
        <v>46</v>
      </c>
    </row>
    <row r="17" spans="1:2" ht="13.9">
      <c r="A17" s="2" t="s">
        <v>47</v>
      </c>
      <c r="B17" t="s">
        <v>48</v>
      </c>
    </row>
    <row r="18" spans="1:2" ht="13.9">
      <c r="A18" s="2" t="s">
        <v>49</v>
      </c>
      <c r="B18" t="s">
        <v>50</v>
      </c>
    </row>
    <row r="19" spans="1:2" ht="13.9">
      <c r="A19" s="2" t="s">
        <v>51</v>
      </c>
      <c r="B19" t="s">
        <v>52</v>
      </c>
    </row>
    <row r="20" spans="1:2" ht="13.9">
      <c r="A20" s="2"/>
    </row>
    <row r="21" spans="1:2" ht="13.9">
      <c r="A21" s="2"/>
    </row>
  </sheetData>
  <mergeCells count="2">
    <mergeCell ref="A1:H1"/>
    <mergeCell ref="D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/>
  </sheetViews>
  <sheetFormatPr defaultRowHeight="13.5"/>
  <cols>
    <col min="1" max="3" width="18" customWidth="1"/>
    <col min="4" max="4" width="34" customWidth="1"/>
  </cols>
  <sheetData>
    <row r="1" spans="1:4" ht="13.9">
      <c r="A1" s="3" t="s">
        <v>53</v>
      </c>
      <c r="B1" s="3" t="s">
        <v>54</v>
      </c>
      <c r="C1" s="3" t="s">
        <v>55</v>
      </c>
      <c r="D1" s="3" t="s">
        <v>56</v>
      </c>
    </row>
    <row r="2" spans="1:4" ht="27">
      <c r="A2" s="4" t="s">
        <v>57</v>
      </c>
      <c r="B2" s="4" t="s">
        <v>58</v>
      </c>
      <c r="C2" s="4" t="s">
        <v>59</v>
      </c>
      <c r="D2" s="4" t="s">
        <v>60</v>
      </c>
    </row>
    <row r="3" spans="1:4" ht="27">
      <c r="A3" s="4" t="s">
        <v>57</v>
      </c>
      <c r="B3" s="4" t="s">
        <v>61</v>
      </c>
      <c r="C3" s="4" t="s">
        <v>59</v>
      </c>
      <c r="D3" s="4" t="s">
        <v>62</v>
      </c>
    </row>
    <row r="4" spans="1:4" ht="27">
      <c r="A4" s="4" t="s">
        <v>57</v>
      </c>
      <c r="B4" s="4" t="s">
        <v>63</v>
      </c>
      <c r="C4" s="4" t="s">
        <v>64</v>
      </c>
      <c r="D4" s="4" t="s">
        <v>65</v>
      </c>
    </row>
    <row r="5" spans="1:4">
      <c r="A5" s="4" t="s">
        <v>57</v>
      </c>
      <c r="B5" s="4" t="s">
        <v>66</v>
      </c>
      <c r="C5" s="4" t="s">
        <v>67</v>
      </c>
      <c r="D5" s="4" t="s">
        <v>68</v>
      </c>
    </row>
    <row r="6" spans="1:4" ht="27">
      <c r="A6" s="4" t="s">
        <v>57</v>
      </c>
      <c r="B6" s="4" t="s">
        <v>69</v>
      </c>
      <c r="C6" s="4" t="s">
        <v>70</v>
      </c>
      <c r="D6" s="4" t="s">
        <v>71</v>
      </c>
    </row>
    <row r="7" spans="1:4" ht="27">
      <c r="A7" s="4" t="s">
        <v>57</v>
      </c>
      <c r="B7" s="4" t="s">
        <v>72</v>
      </c>
      <c r="C7" s="4" t="s">
        <v>73</v>
      </c>
      <c r="D7" s="4" t="s">
        <v>74</v>
      </c>
    </row>
    <row r="8" spans="1:4" ht="27">
      <c r="A8" s="4" t="s">
        <v>57</v>
      </c>
      <c r="B8" s="4" t="s">
        <v>75</v>
      </c>
      <c r="C8" s="4" t="s">
        <v>76</v>
      </c>
      <c r="D8" s="4" t="s">
        <v>77</v>
      </c>
    </row>
    <row r="9" spans="1:4" ht="27">
      <c r="A9" s="4" t="s">
        <v>57</v>
      </c>
      <c r="B9" s="4" t="s">
        <v>78</v>
      </c>
      <c r="C9" s="4" t="s">
        <v>11</v>
      </c>
      <c r="D9" s="4" t="s">
        <v>79</v>
      </c>
    </row>
    <row r="10" spans="1:4">
      <c r="A10" s="4" t="s">
        <v>57</v>
      </c>
      <c r="B10" s="4" t="s">
        <v>80</v>
      </c>
      <c r="C10" s="4" t="s">
        <v>81</v>
      </c>
      <c r="D10" s="4" t="s">
        <v>82</v>
      </c>
    </row>
    <row r="11" spans="1:4">
      <c r="A11" s="4" t="s">
        <v>57</v>
      </c>
      <c r="B11" s="4" t="s">
        <v>83</v>
      </c>
      <c r="C11" s="4" t="s">
        <v>84</v>
      </c>
      <c r="D11" s="4" t="s">
        <v>85</v>
      </c>
    </row>
    <row r="12" spans="1:4" ht="27">
      <c r="A12" s="4" t="s">
        <v>57</v>
      </c>
      <c r="B12" s="4" t="s">
        <v>86</v>
      </c>
      <c r="C12" s="4" t="s">
        <v>87</v>
      </c>
      <c r="D12" s="4" t="s">
        <v>88</v>
      </c>
    </row>
    <row r="13" spans="1:4" ht="27">
      <c r="A13" s="4" t="s">
        <v>89</v>
      </c>
      <c r="B13" s="4" t="s">
        <v>90</v>
      </c>
      <c r="C13" s="4" t="s">
        <v>11</v>
      </c>
      <c r="D13" s="4" t="s">
        <v>91</v>
      </c>
    </row>
    <row r="14" spans="1:4" ht="27">
      <c r="A14" s="4" t="s">
        <v>89</v>
      </c>
      <c r="B14" s="4" t="s">
        <v>92</v>
      </c>
      <c r="C14" s="4" t="s">
        <v>11</v>
      </c>
      <c r="D14" s="4" t="s">
        <v>93</v>
      </c>
    </row>
    <row r="15" spans="1:4" ht="27">
      <c r="A15" s="4" t="s">
        <v>89</v>
      </c>
      <c r="B15" s="4" t="s">
        <v>94</v>
      </c>
      <c r="C15" s="4" t="s">
        <v>11</v>
      </c>
      <c r="D15" s="4" t="s">
        <v>95</v>
      </c>
    </row>
    <row r="16" spans="1:4" ht="27">
      <c r="A16" s="4" t="s">
        <v>89</v>
      </c>
      <c r="B16" s="4" t="s">
        <v>96</v>
      </c>
      <c r="C16" s="4" t="s">
        <v>11</v>
      </c>
      <c r="D16" s="4" t="s">
        <v>97</v>
      </c>
    </row>
    <row r="17" spans="1:4" ht="27">
      <c r="A17" s="4" t="s">
        <v>89</v>
      </c>
      <c r="B17" s="4" t="s">
        <v>98</v>
      </c>
      <c r="C17" s="4" t="s">
        <v>11</v>
      </c>
      <c r="D17" s="4" t="s">
        <v>99</v>
      </c>
    </row>
    <row r="18" spans="1:4">
      <c r="A18" s="4" t="s">
        <v>100</v>
      </c>
      <c r="B18" s="4" t="s">
        <v>101</v>
      </c>
      <c r="C18" s="4" t="s">
        <v>102</v>
      </c>
      <c r="D18" s="4" t="s">
        <v>103</v>
      </c>
    </row>
    <row r="19" spans="1:4">
      <c r="A19" s="4" t="s">
        <v>100</v>
      </c>
      <c r="B19" s="4" t="s">
        <v>104</v>
      </c>
      <c r="C19" s="4" t="s">
        <v>102</v>
      </c>
      <c r="D19" s="4" t="s">
        <v>105</v>
      </c>
    </row>
    <row r="20" spans="1:4">
      <c r="A20" s="4" t="s">
        <v>100</v>
      </c>
      <c r="B20" s="4" t="s">
        <v>106</v>
      </c>
      <c r="C20" s="4" t="s">
        <v>102</v>
      </c>
      <c r="D20" s="4" t="s">
        <v>107</v>
      </c>
    </row>
    <row r="21" spans="1:4">
      <c r="A21" s="4" t="s">
        <v>100</v>
      </c>
      <c r="B21" s="4" t="s">
        <v>108</v>
      </c>
      <c r="C21" s="4" t="s">
        <v>102</v>
      </c>
      <c r="D21" s="4" t="s">
        <v>109</v>
      </c>
    </row>
    <row r="22" spans="1:4" ht="27">
      <c r="A22" s="4" t="s">
        <v>100</v>
      </c>
      <c r="B22" s="4" t="s">
        <v>110</v>
      </c>
      <c r="C22" s="4" t="s">
        <v>102</v>
      </c>
      <c r="D22" s="4" t="s">
        <v>111</v>
      </c>
    </row>
    <row r="23" spans="1:4">
      <c r="A23" s="4" t="s">
        <v>112</v>
      </c>
      <c r="B23" s="4" t="s">
        <v>113</v>
      </c>
      <c r="C23" s="4" t="s">
        <v>73</v>
      </c>
      <c r="D23" s="4" t="s">
        <v>114</v>
      </c>
    </row>
    <row r="24" spans="1:4">
      <c r="A24" s="4" t="s">
        <v>112</v>
      </c>
      <c r="B24" s="4" t="s">
        <v>115</v>
      </c>
      <c r="C24" s="4" t="s">
        <v>73</v>
      </c>
      <c r="D24" s="4" t="s">
        <v>116</v>
      </c>
    </row>
    <row r="25" spans="1:4" ht="27">
      <c r="A25" s="4" t="s">
        <v>112</v>
      </c>
      <c r="B25" s="4" t="s">
        <v>117</v>
      </c>
      <c r="C25" s="4" t="s">
        <v>73</v>
      </c>
      <c r="D25" s="4" t="s">
        <v>118</v>
      </c>
    </row>
    <row r="26" spans="1:4" ht="27">
      <c r="A26" s="4" t="s">
        <v>112</v>
      </c>
      <c r="B26" s="4" t="s">
        <v>119</v>
      </c>
      <c r="C26" s="4" t="s">
        <v>76</v>
      </c>
      <c r="D26" s="4" t="s">
        <v>120</v>
      </c>
    </row>
    <row r="27" spans="1:4">
      <c r="A27" s="4" t="s">
        <v>112</v>
      </c>
      <c r="B27" s="4" t="s">
        <v>121</v>
      </c>
      <c r="C27" s="4" t="s">
        <v>81</v>
      </c>
      <c r="D27" s="4" t="s">
        <v>122</v>
      </c>
    </row>
    <row r="28" spans="1:4">
      <c r="A28" s="4" t="s">
        <v>112</v>
      </c>
      <c r="B28" s="4" t="s">
        <v>123</v>
      </c>
      <c r="C28" s="4" t="s">
        <v>124</v>
      </c>
      <c r="D28" s="4" t="s">
        <v>125</v>
      </c>
    </row>
    <row r="29" spans="1:4">
      <c r="A29" s="4" t="s">
        <v>126</v>
      </c>
      <c r="B29" s="4" t="s">
        <v>127</v>
      </c>
      <c r="C29" s="4" t="s">
        <v>30</v>
      </c>
      <c r="D29" s="4" t="s">
        <v>128</v>
      </c>
    </row>
    <row r="30" spans="1:4">
      <c r="A30" s="4" t="s">
        <v>126</v>
      </c>
      <c r="B30" s="4" t="s">
        <v>129</v>
      </c>
      <c r="C30" s="4" t="s">
        <v>30</v>
      </c>
      <c r="D30" s="4" t="s">
        <v>130</v>
      </c>
    </row>
    <row r="31" spans="1:4">
      <c r="A31" s="4" t="s">
        <v>126</v>
      </c>
      <c r="B31" s="4" t="s">
        <v>131</v>
      </c>
      <c r="C31" s="4" t="s">
        <v>30</v>
      </c>
      <c r="D31" s="4" t="s">
        <v>132</v>
      </c>
    </row>
    <row r="32" spans="1:4" ht="27">
      <c r="A32" s="4" t="s">
        <v>133</v>
      </c>
      <c r="B32" s="4" t="s">
        <v>134</v>
      </c>
      <c r="C32" s="4" t="s">
        <v>22</v>
      </c>
      <c r="D32" s="4" t="s">
        <v>135</v>
      </c>
    </row>
    <row r="33" spans="1:4" ht="27">
      <c r="A33" s="4" t="s">
        <v>133</v>
      </c>
      <c r="B33" s="4" t="s">
        <v>136</v>
      </c>
      <c r="C33" s="4" t="s">
        <v>22</v>
      </c>
      <c r="D33" s="4" t="s">
        <v>137</v>
      </c>
    </row>
    <row r="34" spans="1:4" ht="27">
      <c r="A34" s="4" t="s">
        <v>133</v>
      </c>
      <c r="B34" s="4" t="s">
        <v>138</v>
      </c>
      <c r="C34" s="4" t="s">
        <v>22</v>
      </c>
      <c r="D34" s="4" t="s">
        <v>139</v>
      </c>
    </row>
    <row r="35" spans="1:4">
      <c r="A35" s="4" t="s">
        <v>140</v>
      </c>
      <c r="B35" s="4" t="s">
        <v>141</v>
      </c>
      <c r="C35" s="4" t="s">
        <v>142</v>
      </c>
      <c r="D35" s="4" t="s">
        <v>143</v>
      </c>
    </row>
    <row r="36" spans="1:4">
      <c r="A36" s="4" t="s">
        <v>140</v>
      </c>
      <c r="B36" s="4" t="s">
        <v>144</v>
      </c>
      <c r="C36" s="4" t="s">
        <v>142</v>
      </c>
      <c r="D36" s="4" t="s">
        <v>145</v>
      </c>
    </row>
    <row r="37" spans="1:4">
      <c r="A37" s="4" t="s">
        <v>140</v>
      </c>
      <c r="B37" s="4" t="s">
        <v>146</v>
      </c>
      <c r="C37" s="4" t="s">
        <v>142</v>
      </c>
      <c r="D37" s="4" t="s">
        <v>147</v>
      </c>
    </row>
    <row r="38" spans="1:4">
      <c r="A38" s="4" t="s">
        <v>148</v>
      </c>
      <c r="B38" s="4" t="s">
        <v>149</v>
      </c>
      <c r="C38" s="4" t="s">
        <v>150</v>
      </c>
      <c r="D38" s="4" t="s">
        <v>151</v>
      </c>
    </row>
    <row r="39" spans="1:4">
      <c r="A39" s="4" t="s">
        <v>148</v>
      </c>
      <c r="B39" s="4" t="s">
        <v>152</v>
      </c>
      <c r="C39" s="4" t="s">
        <v>150</v>
      </c>
      <c r="D39" s="4" t="s">
        <v>153</v>
      </c>
    </row>
    <row r="40" spans="1:4">
      <c r="A40" s="4" t="s">
        <v>148</v>
      </c>
      <c r="B40" s="4" t="s">
        <v>154</v>
      </c>
      <c r="C40" s="4" t="s">
        <v>150</v>
      </c>
      <c r="D40" s="4" t="s">
        <v>155</v>
      </c>
    </row>
    <row r="41" spans="1:4">
      <c r="A41" s="4" t="s">
        <v>148</v>
      </c>
      <c r="B41" s="4" t="s">
        <v>156</v>
      </c>
      <c r="C41" s="4" t="s">
        <v>150</v>
      </c>
      <c r="D41" s="4" t="s">
        <v>157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"/>
  <sheetViews>
    <sheetView workbookViewId="0"/>
  </sheetViews>
  <sheetFormatPr defaultRowHeight="13.5"/>
  <cols>
    <col min="1" max="12" width="18" customWidth="1"/>
    <col min="13" max="13" width="34" customWidth="1"/>
    <col min="14" max="15" width="18" customWidth="1"/>
    <col min="16" max="16" width="34" customWidth="1"/>
    <col min="17" max="17" width="18" customWidth="1"/>
    <col min="18" max="18" width="34" customWidth="1"/>
  </cols>
  <sheetData>
    <row r="1" spans="1:18" ht="27.75">
      <c r="A1" s="3" t="s">
        <v>158</v>
      </c>
      <c r="B1" s="3" t="s">
        <v>159</v>
      </c>
      <c r="C1" s="3" t="s">
        <v>160</v>
      </c>
      <c r="D1" s="3" t="s">
        <v>161</v>
      </c>
      <c r="E1" s="3" t="s">
        <v>162</v>
      </c>
      <c r="F1" s="3" t="s">
        <v>163</v>
      </c>
      <c r="G1" s="3" t="s">
        <v>164</v>
      </c>
      <c r="H1" s="3" t="s">
        <v>165</v>
      </c>
      <c r="I1" s="3" t="s">
        <v>166</v>
      </c>
      <c r="J1" s="3" t="s">
        <v>167</v>
      </c>
      <c r="K1" s="3" t="s">
        <v>168</v>
      </c>
      <c r="L1" s="3" t="s">
        <v>169</v>
      </c>
      <c r="M1" s="3" t="s">
        <v>170</v>
      </c>
      <c r="N1" s="3" t="s">
        <v>171</v>
      </c>
      <c r="O1" s="3" t="s">
        <v>172</v>
      </c>
      <c r="P1" s="3" t="s">
        <v>173</v>
      </c>
      <c r="Q1" s="3" t="s">
        <v>174</v>
      </c>
      <c r="R1" s="3" t="s">
        <v>56</v>
      </c>
    </row>
    <row r="2" spans="1:18" ht="27">
      <c r="A2" s="4" t="s">
        <v>175</v>
      </c>
      <c r="B2" s="4" t="s">
        <v>176</v>
      </c>
      <c r="C2" s="4" t="s">
        <v>177</v>
      </c>
      <c r="D2" s="4" t="s">
        <v>178</v>
      </c>
      <c r="E2" s="4" t="s">
        <v>179</v>
      </c>
      <c r="F2" s="4" t="s">
        <v>180</v>
      </c>
      <c r="G2" s="4" t="s">
        <v>181</v>
      </c>
      <c r="H2" s="4" t="s">
        <v>182</v>
      </c>
      <c r="I2" s="4" t="s">
        <v>183</v>
      </c>
      <c r="J2" s="4" t="s">
        <v>182</v>
      </c>
      <c r="K2" s="4" t="s">
        <v>184</v>
      </c>
      <c r="L2" s="4" t="s">
        <v>185</v>
      </c>
      <c r="M2" s="4" t="s">
        <v>186</v>
      </c>
      <c r="N2" s="4" t="s">
        <v>58</v>
      </c>
      <c r="O2" s="4" t="s">
        <v>187</v>
      </c>
      <c r="P2" s="4" t="s">
        <v>188</v>
      </c>
      <c r="Q2" s="4"/>
      <c r="R2" s="4" t="s">
        <v>189</v>
      </c>
    </row>
    <row r="3" spans="1:18" ht="27">
      <c r="A3" s="4" t="s">
        <v>190</v>
      </c>
      <c r="B3" s="4" t="s">
        <v>191</v>
      </c>
      <c r="C3" s="4" t="s">
        <v>192</v>
      </c>
      <c r="D3" s="4" t="s">
        <v>193</v>
      </c>
      <c r="E3" s="4" t="s">
        <v>179</v>
      </c>
      <c r="F3" s="4" t="s">
        <v>194</v>
      </c>
      <c r="G3" s="4" t="s">
        <v>195</v>
      </c>
      <c r="H3" s="4" t="s">
        <v>196</v>
      </c>
      <c r="I3" s="4" t="s">
        <v>197</v>
      </c>
      <c r="J3" s="4" t="s">
        <v>182</v>
      </c>
      <c r="K3" s="4" t="s">
        <v>198</v>
      </c>
      <c r="L3" s="4" t="s">
        <v>199</v>
      </c>
      <c r="M3" s="4" t="s">
        <v>186</v>
      </c>
      <c r="N3" s="4" t="s">
        <v>61</v>
      </c>
      <c r="O3" s="4" t="s">
        <v>187</v>
      </c>
      <c r="P3" s="4" t="s">
        <v>200</v>
      </c>
      <c r="Q3" s="4"/>
      <c r="R3" s="4" t="s">
        <v>189</v>
      </c>
    </row>
    <row r="4" spans="1:18" ht="40.5">
      <c r="A4" s="4" t="s">
        <v>201</v>
      </c>
      <c r="B4" s="4" t="s">
        <v>202</v>
      </c>
      <c r="C4" s="4" t="s">
        <v>203</v>
      </c>
      <c r="D4" s="4" t="s">
        <v>178</v>
      </c>
      <c r="E4" s="4" t="s">
        <v>179</v>
      </c>
      <c r="F4" s="4" t="s">
        <v>204</v>
      </c>
      <c r="G4" s="4" t="s">
        <v>181</v>
      </c>
      <c r="H4" s="4" t="s">
        <v>205</v>
      </c>
      <c r="I4" s="4" t="s">
        <v>206</v>
      </c>
      <c r="J4" s="4" t="s">
        <v>182</v>
      </c>
      <c r="K4" s="4" t="s">
        <v>207</v>
      </c>
      <c r="L4" s="4" t="s">
        <v>185</v>
      </c>
      <c r="M4" s="4" t="s">
        <v>208</v>
      </c>
      <c r="N4" s="4" t="s">
        <v>63</v>
      </c>
      <c r="O4" s="4" t="s">
        <v>187</v>
      </c>
      <c r="P4" s="4" t="s">
        <v>209</v>
      </c>
      <c r="Q4" s="4"/>
      <c r="R4" s="4" t="s">
        <v>189</v>
      </c>
    </row>
    <row r="5" spans="1:18" ht="27">
      <c r="A5" s="4" t="s">
        <v>210</v>
      </c>
      <c r="B5" s="4" t="s">
        <v>211</v>
      </c>
      <c r="C5" s="4" t="s">
        <v>212</v>
      </c>
      <c r="D5" s="4" t="s">
        <v>213</v>
      </c>
      <c r="E5" s="4" t="s">
        <v>179</v>
      </c>
      <c r="F5" s="4" t="s">
        <v>214</v>
      </c>
      <c r="G5" s="4" t="s">
        <v>181</v>
      </c>
      <c r="H5" s="4" t="s">
        <v>182</v>
      </c>
      <c r="I5" s="4" t="s">
        <v>215</v>
      </c>
      <c r="J5" s="4" t="s">
        <v>182</v>
      </c>
      <c r="K5" s="4" t="s">
        <v>198</v>
      </c>
      <c r="L5" s="4" t="s">
        <v>199</v>
      </c>
      <c r="M5" s="4" t="s">
        <v>186</v>
      </c>
      <c r="N5" s="4" t="s">
        <v>66</v>
      </c>
      <c r="O5" s="4" t="s">
        <v>216</v>
      </c>
      <c r="P5" s="4" t="s">
        <v>217</v>
      </c>
      <c r="Q5" s="4"/>
      <c r="R5" s="4" t="s">
        <v>189</v>
      </c>
    </row>
    <row r="6" spans="1:18" ht="27">
      <c r="A6" s="4" t="s">
        <v>218</v>
      </c>
      <c r="B6" s="4" t="s">
        <v>219</v>
      </c>
      <c r="C6" s="4" t="s">
        <v>220</v>
      </c>
      <c r="D6" s="4" t="s">
        <v>178</v>
      </c>
      <c r="E6" s="4" t="s">
        <v>179</v>
      </c>
      <c r="F6" s="4" t="s">
        <v>221</v>
      </c>
      <c r="G6" s="4" t="s">
        <v>181</v>
      </c>
      <c r="H6" s="4" t="s">
        <v>205</v>
      </c>
      <c r="I6" s="4" t="s">
        <v>222</v>
      </c>
      <c r="J6" s="4" t="s">
        <v>182</v>
      </c>
      <c r="K6" s="4" t="s">
        <v>223</v>
      </c>
      <c r="L6" s="4" t="s">
        <v>185</v>
      </c>
      <c r="M6" s="4" t="s">
        <v>208</v>
      </c>
      <c r="N6" s="4" t="s">
        <v>75</v>
      </c>
      <c r="O6" s="4" t="s">
        <v>187</v>
      </c>
      <c r="P6" s="4" t="s">
        <v>224</v>
      </c>
      <c r="Q6" s="4"/>
      <c r="R6" s="4" t="s">
        <v>189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workbookViewId="0"/>
  </sheetViews>
  <sheetFormatPr defaultRowHeight="13.5"/>
  <cols>
    <col min="1" max="17" width="18" customWidth="1"/>
    <col min="18" max="18" width="34" customWidth="1"/>
  </cols>
  <sheetData>
    <row r="1" spans="1:18" ht="27.75">
      <c r="A1" s="3" t="s">
        <v>159</v>
      </c>
      <c r="B1" s="3" t="s">
        <v>158</v>
      </c>
      <c r="C1" s="3" t="s">
        <v>166</v>
      </c>
      <c r="D1" s="3" t="s">
        <v>168</v>
      </c>
      <c r="E1" s="3" t="s">
        <v>225</v>
      </c>
      <c r="F1" s="3" t="s">
        <v>226</v>
      </c>
      <c r="G1" s="3" t="s">
        <v>227</v>
      </c>
      <c r="H1" s="3" t="s">
        <v>228</v>
      </c>
      <c r="I1" s="3" t="s">
        <v>229</v>
      </c>
      <c r="J1" s="3" t="s">
        <v>230</v>
      </c>
      <c r="K1" s="3" t="s">
        <v>231</v>
      </c>
      <c r="L1" s="3" t="s">
        <v>232</v>
      </c>
      <c r="M1" s="3" t="s">
        <v>233</v>
      </c>
      <c r="N1" s="3" t="s">
        <v>234</v>
      </c>
      <c r="O1" s="3" t="s">
        <v>235</v>
      </c>
      <c r="P1" s="3" t="s">
        <v>236</v>
      </c>
      <c r="Q1" s="3" t="s">
        <v>237</v>
      </c>
      <c r="R1" s="3" t="s">
        <v>238</v>
      </c>
    </row>
    <row r="2" spans="1:18">
      <c r="A2" s="4" t="s">
        <v>176</v>
      </c>
      <c r="B2" s="4" t="s">
        <v>175</v>
      </c>
      <c r="C2" s="4" t="s">
        <v>239</v>
      </c>
      <c r="D2" s="4" t="s">
        <v>184</v>
      </c>
      <c r="E2" s="4" t="s">
        <v>240</v>
      </c>
      <c r="F2" s="4" t="s">
        <v>186</v>
      </c>
      <c r="G2" s="4" t="s">
        <v>241</v>
      </c>
      <c r="H2" s="4" t="s">
        <v>242</v>
      </c>
      <c r="I2" s="4" t="s">
        <v>243</v>
      </c>
      <c r="J2" s="4" t="s">
        <v>208</v>
      </c>
      <c r="K2" s="4" t="s">
        <v>244</v>
      </c>
      <c r="L2" s="4" t="s">
        <v>245</v>
      </c>
      <c r="M2" s="4" t="s">
        <v>246</v>
      </c>
      <c r="N2" s="4" t="s">
        <v>247</v>
      </c>
      <c r="O2" s="4" t="s">
        <v>248</v>
      </c>
      <c r="P2" s="4" t="s">
        <v>249</v>
      </c>
      <c r="Q2" s="4" t="s">
        <v>250</v>
      </c>
      <c r="R2" s="4"/>
    </row>
    <row r="3" spans="1:18">
      <c r="A3" s="4" t="s">
        <v>191</v>
      </c>
      <c r="B3" s="4" t="s">
        <v>190</v>
      </c>
      <c r="C3" s="4" t="s">
        <v>251</v>
      </c>
      <c r="D3" s="4" t="s">
        <v>198</v>
      </c>
      <c r="E3" s="4" t="s">
        <v>252</v>
      </c>
      <c r="F3" s="4" t="s">
        <v>186</v>
      </c>
      <c r="G3" s="4" t="s">
        <v>253</v>
      </c>
      <c r="H3" s="4" t="s">
        <v>241</v>
      </c>
      <c r="I3" s="4" t="s">
        <v>242</v>
      </c>
      <c r="J3" s="4" t="s">
        <v>94</v>
      </c>
      <c r="K3" s="4" t="s">
        <v>254</v>
      </c>
      <c r="L3" s="4" t="s">
        <v>255</v>
      </c>
      <c r="M3" s="4" t="s">
        <v>246</v>
      </c>
      <c r="N3" s="4" t="s">
        <v>247</v>
      </c>
      <c r="O3" s="4" t="s">
        <v>248</v>
      </c>
      <c r="P3" s="4" t="s">
        <v>256</v>
      </c>
      <c r="Q3" s="4" t="s">
        <v>257</v>
      </c>
      <c r="R3" s="4" t="s">
        <v>258</v>
      </c>
    </row>
    <row r="4" spans="1:18">
      <c r="A4" s="4" t="s">
        <v>202</v>
      </c>
      <c r="B4" s="4" t="s">
        <v>201</v>
      </c>
      <c r="C4" s="4" t="s">
        <v>206</v>
      </c>
      <c r="D4" s="4" t="s">
        <v>207</v>
      </c>
      <c r="E4" s="4" t="s">
        <v>240</v>
      </c>
      <c r="F4" s="4" t="s">
        <v>208</v>
      </c>
      <c r="G4" s="4" t="s">
        <v>241</v>
      </c>
      <c r="H4" s="4" t="s">
        <v>242</v>
      </c>
      <c r="I4" s="4" t="s">
        <v>243</v>
      </c>
      <c r="J4" s="4" t="s">
        <v>208</v>
      </c>
      <c r="K4" s="4" t="s">
        <v>259</v>
      </c>
      <c r="L4" s="4" t="s">
        <v>260</v>
      </c>
      <c r="M4" s="4" t="s">
        <v>246</v>
      </c>
      <c r="N4" s="4" t="s">
        <v>247</v>
      </c>
      <c r="O4" s="4" t="s">
        <v>248</v>
      </c>
      <c r="P4" s="4" t="s">
        <v>249</v>
      </c>
      <c r="Q4" s="4" t="s">
        <v>250</v>
      </c>
      <c r="R4" s="4" t="s">
        <v>261</v>
      </c>
    </row>
    <row r="5" spans="1:18" ht="27">
      <c r="A5" s="4" t="s">
        <v>211</v>
      </c>
      <c r="B5" s="4" t="s">
        <v>210</v>
      </c>
      <c r="C5" s="4" t="s">
        <v>215</v>
      </c>
      <c r="D5" s="4" t="s">
        <v>198</v>
      </c>
      <c r="E5" s="4" t="s">
        <v>240</v>
      </c>
      <c r="F5" s="4" t="s">
        <v>186</v>
      </c>
      <c r="G5" s="4" t="s">
        <v>253</v>
      </c>
      <c r="H5" s="4" t="s">
        <v>241</v>
      </c>
      <c r="I5" s="4" t="s">
        <v>243</v>
      </c>
      <c r="J5" s="4" t="s">
        <v>208</v>
      </c>
      <c r="K5" s="4" t="s">
        <v>262</v>
      </c>
      <c r="L5" s="4" t="s">
        <v>263</v>
      </c>
      <c r="M5" s="4" t="s">
        <v>246</v>
      </c>
      <c r="N5" s="4" t="s">
        <v>247</v>
      </c>
      <c r="O5" s="4" t="s">
        <v>248</v>
      </c>
      <c r="P5" s="4" t="s">
        <v>264</v>
      </c>
      <c r="Q5" s="4" t="s">
        <v>265</v>
      </c>
      <c r="R5" s="4" t="s">
        <v>266</v>
      </c>
    </row>
    <row r="6" spans="1:18">
      <c r="A6" s="4" t="s">
        <v>219</v>
      </c>
      <c r="B6" s="4" t="s">
        <v>218</v>
      </c>
      <c r="C6" s="4" t="s">
        <v>222</v>
      </c>
      <c r="D6" s="4" t="s">
        <v>223</v>
      </c>
      <c r="E6" s="4" t="s">
        <v>267</v>
      </c>
      <c r="F6" s="4" t="s">
        <v>186</v>
      </c>
      <c r="G6" s="4" t="s">
        <v>253</v>
      </c>
      <c r="H6" s="4" t="s">
        <v>253</v>
      </c>
      <c r="I6" s="4" t="s">
        <v>242</v>
      </c>
      <c r="J6" s="4" t="s">
        <v>208</v>
      </c>
      <c r="K6" s="4" t="s">
        <v>268</v>
      </c>
      <c r="L6" s="4" t="s">
        <v>269</v>
      </c>
      <c r="M6" s="4" t="s">
        <v>246</v>
      </c>
      <c r="N6" s="4" t="s">
        <v>247</v>
      </c>
      <c r="O6" s="4" t="s">
        <v>248</v>
      </c>
      <c r="P6" s="4" t="s">
        <v>249</v>
      </c>
      <c r="Q6" s="4" t="s">
        <v>270</v>
      </c>
      <c r="R6" s="4" t="s">
        <v>120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tabSelected="1" workbookViewId="0"/>
  </sheetViews>
  <sheetFormatPr defaultRowHeight="13.5"/>
  <cols>
    <col min="1" max="8" width="18" customWidth="1"/>
    <col min="9" max="10" width="34" customWidth="1"/>
  </cols>
  <sheetData>
    <row r="1" spans="1:10" ht="13.9">
      <c r="A1" s="3" t="s">
        <v>271</v>
      </c>
      <c r="B1" s="3" t="s">
        <v>158</v>
      </c>
      <c r="C1" s="3" t="s">
        <v>159</v>
      </c>
      <c r="D1" s="3" t="s">
        <v>272</v>
      </c>
      <c r="E1" s="3" t="s">
        <v>273</v>
      </c>
      <c r="F1" s="3" t="s">
        <v>51</v>
      </c>
      <c r="G1" s="3" t="s">
        <v>274</v>
      </c>
      <c r="H1" s="3" t="s">
        <v>275</v>
      </c>
      <c r="I1" s="3" t="s">
        <v>276</v>
      </c>
      <c r="J1" s="3" t="s">
        <v>56</v>
      </c>
    </row>
    <row r="2" spans="1:10" ht="27">
      <c r="A2" s="4" t="s">
        <v>277</v>
      </c>
      <c r="B2" s="4" t="s">
        <v>175</v>
      </c>
      <c r="C2" s="4" t="s">
        <v>176</v>
      </c>
      <c r="D2" s="4" t="s">
        <v>278</v>
      </c>
      <c r="E2" s="4" t="s">
        <v>208</v>
      </c>
      <c r="F2" s="4" t="s">
        <v>181</v>
      </c>
      <c r="G2" s="4" t="s">
        <v>279</v>
      </c>
      <c r="H2" s="4" t="s">
        <v>280</v>
      </c>
      <c r="I2" s="4" t="s">
        <v>281</v>
      </c>
      <c r="J2" s="4"/>
    </row>
    <row r="3" spans="1:10" ht="27">
      <c r="A3" s="4" t="s">
        <v>282</v>
      </c>
      <c r="B3" s="4" t="s">
        <v>175</v>
      </c>
      <c r="C3" s="4" t="s">
        <v>176</v>
      </c>
      <c r="D3" s="4" t="s">
        <v>283</v>
      </c>
      <c r="E3" s="4" t="s">
        <v>208</v>
      </c>
      <c r="F3" s="4" t="s">
        <v>181</v>
      </c>
      <c r="G3" s="4" t="s">
        <v>284</v>
      </c>
      <c r="H3" s="4" t="s">
        <v>187</v>
      </c>
      <c r="I3" s="4" t="s">
        <v>285</v>
      </c>
      <c r="J3" s="4"/>
    </row>
    <row r="4" spans="1:10" ht="40.5">
      <c r="A4" s="4" t="s">
        <v>286</v>
      </c>
      <c r="B4" s="4" t="s">
        <v>175</v>
      </c>
      <c r="C4" s="4" t="s">
        <v>176</v>
      </c>
      <c r="D4" s="4" t="s">
        <v>287</v>
      </c>
      <c r="E4" s="4" t="s">
        <v>208</v>
      </c>
      <c r="F4" s="4" t="s">
        <v>181</v>
      </c>
      <c r="G4" s="4" t="s">
        <v>288</v>
      </c>
      <c r="H4" s="4" t="s">
        <v>187</v>
      </c>
      <c r="I4" s="4" t="s">
        <v>289</v>
      </c>
      <c r="J4" s="4"/>
    </row>
    <row r="5" spans="1:10" ht="27">
      <c r="A5" s="4" t="s">
        <v>290</v>
      </c>
      <c r="B5" s="4" t="s">
        <v>190</v>
      </c>
      <c r="C5" s="4" t="s">
        <v>191</v>
      </c>
      <c r="D5" s="4" t="s">
        <v>291</v>
      </c>
      <c r="E5" s="4" t="s">
        <v>292</v>
      </c>
      <c r="F5" s="4" t="s">
        <v>181</v>
      </c>
      <c r="G5" s="4" t="s">
        <v>293</v>
      </c>
      <c r="H5" s="4" t="s">
        <v>250</v>
      </c>
      <c r="I5" s="4" t="s">
        <v>294</v>
      </c>
      <c r="J5" s="4"/>
    </row>
    <row r="6" spans="1:10" ht="40.5">
      <c r="A6" s="4" t="s">
        <v>295</v>
      </c>
      <c r="B6" s="4" t="s">
        <v>190</v>
      </c>
      <c r="C6" s="4" t="s">
        <v>191</v>
      </c>
      <c r="D6" s="4" t="s">
        <v>296</v>
      </c>
      <c r="E6" s="4" t="s">
        <v>297</v>
      </c>
      <c r="F6" s="4" t="s">
        <v>181</v>
      </c>
      <c r="G6" s="4" t="s">
        <v>298</v>
      </c>
      <c r="H6" s="4" t="s">
        <v>299</v>
      </c>
      <c r="I6" s="4" t="s">
        <v>300</v>
      </c>
      <c r="J6" s="4"/>
    </row>
    <row r="7" spans="1:10" ht="27">
      <c r="A7" s="4" t="s">
        <v>301</v>
      </c>
      <c r="B7" s="4" t="s">
        <v>175</v>
      </c>
      <c r="C7" s="4" t="s">
        <v>176</v>
      </c>
      <c r="D7" s="4" t="s">
        <v>302</v>
      </c>
      <c r="E7" s="4" t="s">
        <v>208</v>
      </c>
      <c r="F7" s="4" t="s">
        <v>181</v>
      </c>
      <c r="G7" s="4" t="s">
        <v>303</v>
      </c>
      <c r="H7" s="4" t="s">
        <v>304</v>
      </c>
      <c r="I7" s="4" t="s">
        <v>305</v>
      </c>
      <c r="J7" s="4"/>
    </row>
    <row r="8" spans="1:10" ht="54">
      <c r="A8" s="4" t="s">
        <v>306</v>
      </c>
      <c r="B8" s="4" t="s">
        <v>175</v>
      </c>
      <c r="C8" s="4" t="s">
        <v>176</v>
      </c>
      <c r="D8" s="4" t="s">
        <v>307</v>
      </c>
      <c r="E8" s="4" t="s">
        <v>208</v>
      </c>
      <c r="F8" s="4" t="s">
        <v>181</v>
      </c>
      <c r="G8" s="4" t="s">
        <v>308</v>
      </c>
      <c r="H8" s="4" t="s">
        <v>187</v>
      </c>
      <c r="I8" s="4" t="s">
        <v>309</v>
      </c>
      <c r="J8" s="4"/>
    </row>
    <row r="9" spans="1:10" ht="27">
      <c r="A9" s="4" t="s">
        <v>310</v>
      </c>
      <c r="B9" s="4" t="s">
        <v>175</v>
      </c>
      <c r="C9" s="4" t="s">
        <v>176</v>
      </c>
      <c r="D9" s="4" t="s">
        <v>311</v>
      </c>
      <c r="E9" s="4" t="s">
        <v>208</v>
      </c>
      <c r="F9" s="4" t="s">
        <v>181</v>
      </c>
      <c r="G9" s="4" t="s">
        <v>312</v>
      </c>
      <c r="H9" s="4" t="s">
        <v>187</v>
      </c>
      <c r="I9" s="4" t="s">
        <v>313</v>
      </c>
      <c r="J9" s="4"/>
    </row>
    <row r="10" spans="1:10" ht="27">
      <c r="A10" s="4" t="s">
        <v>314</v>
      </c>
      <c r="B10" s="4" t="s">
        <v>175</v>
      </c>
      <c r="C10" s="4" t="s">
        <v>176</v>
      </c>
      <c r="D10" s="4" t="s">
        <v>315</v>
      </c>
      <c r="E10" s="4" t="s">
        <v>208</v>
      </c>
      <c r="F10" s="4" t="s">
        <v>181</v>
      </c>
      <c r="G10" s="4" t="s">
        <v>316</v>
      </c>
      <c r="H10" s="4" t="s">
        <v>317</v>
      </c>
      <c r="I10" s="4" t="s">
        <v>318</v>
      </c>
      <c r="J10" s="4"/>
    </row>
    <row r="11" spans="1:10" ht="40.5">
      <c r="A11" s="4" t="s">
        <v>319</v>
      </c>
      <c r="B11" s="4" t="s">
        <v>175</v>
      </c>
      <c r="C11" s="4" t="s">
        <v>176</v>
      </c>
      <c r="D11" s="4" t="s">
        <v>320</v>
      </c>
      <c r="E11" s="4" t="s">
        <v>208</v>
      </c>
      <c r="F11" s="4" t="s">
        <v>181</v>
      </c>
      <c r="G11" s="4" t="s">
        <v>321</v>
      </c>
      <c r="H11" s="4" t="s">
        <v>322</v>
      </c>
      <c r="I11" s="4" t="s">
        <v>323</v>
      </c>
      <c r="J11" s="4"/>
    </row>
  </sheetData>
  <dataValidations count="1">
    <dataValidation type="list" sqref="F2:F200" xr:uid="{00000000-0002-0000-0400-000000000000}">
      <formula1>"Pending,Open,In Progress,Completed,Closed,Approved,Rejected,Hold,Planned,Future,Active,Paid,Unpaid,Partial"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defaultRowHeight="13.5"/>
  <cols>
    <col min="1" max="5" width="18" customWidth="1"/>
    <col min="6" max="6" width="34" customWidth="1"/>
    <col min="7" max="9" width="18" customWidth="1"/>
    <col min="10" max="10" width="34" customWidth="1"/>
  </cols>
  <sheetData>
    <row r="1" spans="1:10" ht="13.9">
      <c r="A1" s="3" t="s">
        <v>324</v>
      </c>
      <c r="B1" s="3" t="s">
        <v>159</v>
      </c>
      <c r="C1" s="3" t="s">
        <v>158</v>
      </c>
      <c r="D1" s="3" t="s">
        <v>325</v>
      </c>
      <c r="E1" s="3" t="s">
        <v>326</v>
      </c>
      <c r="F1" s="3" t="s">
        <v>327</v>
      </c>
      <c r="G1" s="3" t="s">
        <v>275</v>
      </c>
      <c r="H1" s="3" t="s">
        <v>328</v>
      </c>
      <c r="I1" s="3" t="s">
        <v>51</v>
      </c>
      <c r="J1" s="3" t="s">
        <v>56</v>
      </c>
    </row>
    <row r="2" spans="1:10" ht="27">
      <c r="A2" s="4" t="s">
        <v>329</v>
      </c>
      <c r="B2" s="4" t="s">
        <v>176</v>
      </c>
      <c r="C2" s="4" t="s">
        <v>175</v>
      </c>
      <c r="D2" s="4" t="s">
        <v>330</v>
      </c>
      <c r="E2" s="4" t="s">
        <v>331</v>
      </c>
      <c r="F2" s="4" t="s">
        <v>332</v>
      </c>
      <c r="G2" s="4" t="s">
        <v>216</v>
      </c>
      <c r="H2" s="4"/>
      <c r="I2" s="4" t="s">
        <v>181</v>
      </c>
      <c r="J2" s="4"/>
    </row>
    <row r="3" spans="1:10" ht="40.5">
      <c r="A3" s="4" t="s">
        <v>333</v>
      </c>
      <c r="B3" s="4" t="s">
        <v>176</v>
      </c>
      <c r="C3" s="4" t="s">
        <v>175</v>
      </c>
      <c r="D3" s="4" t="s">
        <v>334</v>
      </c>
      <c r="E3" s="4" t="s">
        <v>335</v>
      </c>
      <c r="F3" s="4" t="s">
        <v>336</v>
      </c>
      <c r="G3" s="4" t="s">
        <v>187</v>
      </c>
      <c r="H3" s="4"/>
      <c r="I3" s="4" t="s">
        <v>181</v>
      </c>
      <c r="J3" s="4"/>
    </row>
    <row r="4" spans="1:10" ht="27">
      <c r="A4" s="4" t="s">
        <v>337</v>
      </c>
      <c r="B4" s="4" t="s">
        <v>191</v>
      </c>
      <c r="C4" s="4" t="s">
        <v>190</v>
      </c>
      <c r="D4" s="4" t="s">
        <v>338</v>
      </c>
      <c r="E4" s="4" t="s">
        <v>339</v>
      </c>
      <c r="F4" s="4" t="s">
        <v>340</v>
      </c>
      <c r="G4" s="4" t="s">
        <v>317</v>
      </c>
      <c r="H4" s="4"/>
      <c r="I4" s="4" t="s">
        <v>181</v>
      </c>
      <c r="J4" s="4" t="s">
        <v>258</v>
      </c>
    </row>
    <row r="5" spans="1:10">
      <c r="A5" s="4" t="s">
        <v>341</v>
      </c>
      <c r="B5" s="4" t="s">
        <v>202</v>
      </c>
      <c r="C5" s="4" t="s">
        <v>201</v>
      </c>
      <c r="D5" s="4" t="s">
        <v>342</v>
      </c>
      <c r="E5" s="4" t="s">
        <v>343</v>
      </c>
      <c r="F5" s="4" t="s">
        <v>344</v>
      </c>
      <c r="G5" s="4" t="s">
        <v>322</v>
      </c>
      <c r="H5" s="4"/>
      <c r="I5" s="4" t="s">
        <v>181</v>
      </c>
      <c r="J5" s="4"/>
    </row>
    <row r="6" spans="1:10" ht="27">
      <c r="A6" s="4" t="s">
        <v>345</v>
      </c>
      <c r="B6" s="4" t="s">
        <v>211</v>
      </c>
      <c r="C6" s="4" t="s">
        <v>210</v>
      </c>
      <c r="D6" s="4" t="s">
        <v>346</v>
      </c>
      <c r="E6" s="4" t="s">
        <v>347</v>
      </c>
      <c r="F6" s="4" t="s">
        <v>348</v>
      </c>
      <c r="G6" s="4" t="s">
        <v>187</v>
      </c>
      <c r="H6" s="4"/>
      <c r="I6" s="4" t="s">
        <v>181</v>
      </c>
      <c r="J6" s="4"/>
    </row>
    <row r="7" spans="1:10" ht="27">
      <c r="A7" s="4" t="s">
        <v>349</v>
      </c>
      <c r="B7" s="4" t="s">
        <v>219</v>
      </c>
      <c r="C7" s="4" t="s">
        <v>218</v>
      </c>
      <c r="D7" s="4" t="s">
        <v>350</v>
      </c>
      <c r="E7" s="4" t="s">
        <v>351</v>
      </c>
      <c r="F7" s="4" t="s">
        <v>352</v>
      </c>
      <c r="G7" s="4" t="s">
        <v>280</v>
      </c>
      <c r="H7" s="4"/>
      <c r="I7" s="4" t="s">
        <v>181</v>
      </c>
      <c r="J7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"/>
  <sheetViews>
    <sheetView workbookViewId="0"/>
  </sheetViews>
  <sheetFormatPr defaultRowHeight="13.5"/>
  <cols>
    <col min="1" max="11" width="18" customWidth="1"/>
    <col min="12" max="13" width="34" customWidth="1"/>
  </cols>
  <sheetData>
    <row r="1" spans="1:13" ht="27.75">
      <c r="A1" s="3" t="s">
        <v>353</v>
      </c>
      <c r="B1" s="3" t="s">
        <v>159</v>
      </c>
      <c r="C1" s="3" t="s">
        <v>158</v>
      </c>
      <c r="D1" s="3" t="s">
        <v>354</v>
      </c>
      <c r="E1" s="3" t="s">
        <v>355</v>
      </c>
      <c r="F1" s="3" t="s">
        <v>356</v>
      </c>
      <c r="G1" s="3" t="s">
        <v>357</v>
      </c>
      <c r="H1" s="3" t="s">
        <v>358</v>
      </c>
      <c r="I1" s="3" t="s">
        <v>51</v>
      </c>
      <c r="J1" s="3" t="s">
        <v>359</v>
      </c>
      <c r="K1" s="3" t="s">
        <v>360</v>
      </c>
      <c r="L1" s="3" t="s">
        <v>173</v>
      </c>
      <c r="M1" s="3" t="s">
        <v>56</v>
      </c>
    </row>
    <row r="2" spans="1:13" ht="40.5">
      <c r="A2" s="4" t="s">
        <v>361</v>
      </c>
      <c r="B2" s="4" t="s">
        <v>176</v>
      </c>
      <c r="C2" s="4" t="s">
        <v>175</v>
      </c>
      <c r="D2" s="4" t="s">
        <v>362</v>
      </c>
      <c r="E2" s="4" t="s">
        <v>363</v>
      </c>
      <c r="F2" s="4"/>
      <c r="G2" s="4"/>
      <c r="H2" s="4" t="s">
        <v>364</v>
      </c>
      <c r="I2" s="4" t="s">
        <v>365</v>
      </c>
      <c r="J2" s="4" t="s">
        <v>366</v>
      </c>
      <c r="K2" s="4" t="s">
        <v>366</v>
      </c>
      <c r="L2" s="4" t="s">
        <v>367</v>
      </c>
      <c r="M2" s="4"/>
    </row>
    <row r="3" spans="1:13" ht="27">
      <c r="A3" s="4" t="s">
        <v>368</v>
      </c>
      <c r="B3" s="4" t="s">
        <v>176</v>
      </c>
      <c r="C3" s="4" t="s">
        <v>175</v>
      </c>
      <c r="D3" s="4" t="s">
        <v>369</v>
      </c>
      <c r="E3" s="4" t="s">
        <v>370</v>
      </c>
      <c r="F3" s="4"/>
      <c r="G3" s="4"/>
      <c r="H3" s="4" t="s">
        <v>364</v>
      </c>
      <c r="I3" s="4" t="s">
        <v>365</v>
      </c>
      <c r="J3" s="4" t="s">
        <v>366</v>
      </c>
      <c r="K3" s="4" t="s">
        <v>366</v>
      </c>
      <c r="L3" s="4" t="s">
        <v>371</v>
      </c>
      <c r="M3" s="4"/>
    </row>
    <row r="4" spans="1:13" ht="27">
      <c r="A4" s="4" t="s">
        <v>372</v>
      </c>
      <c r="B4" s="4" t="s">
        <v>191</v>
      </c>
      <c r="C4" s="4" t="s">
        <v>190</v>
      </c>
      <c r="D4" s="4" t="s">
        <v>373</v>
      </c>
      <c r="E4" s="4" t="s">
        <v>374</v>
      </c>
      <c r="F4" s="4"/>
      <c r="G4" s="4"/>
      <c r="H4" s="4" t="s">
        <v>364</v>
      </c>
      <c r="I4" s="4" t="s">
        <v>365</v>
      </c>
      <c r="J4" s="4" t="s">
        <v>366</v>
      </c>
      <c r="K4" s="4" t="s">
        <v>366</v>
      </c>
      <c r="L4" s="4" t="s">
        <v>375</v>
      </c>
      <c r="M4" s="4" t="s">
        <v>258</v>
      </c>
    </row>
    <row r="5" spans="1:13" ht="27">
      <c r="A5" s="4" t="s">
        <v>376</v>
      </c>
      <c r="B5" s="4" t="s">
        <v>202</v>
      </c>
      <c r="C5" s="4" t="s">
        <v>201</v>
      </c>
      <c r="D5" s="4" t="s">
        <v>362</v>
      </c>
      <c r="E5" s="4" t="s">
        <v>377</v>
      </c>
      <c r="F5" s="4"/>
      <c r="G5" s="4"/>
      <c r="H5" s="4" t="s">
        <v>364</v>
      </c>
      <c r="I5" s="4" t="s">
        <v>378</v>
      </c>
      <c r="J5" s="4" t="s">
        <v>366</v>
      </c>
      <c r="K5" s="4" t="s">
        <v>366</v>
      </c>
      <c r="L5" s="4" t="s">
        <v>379</v>
      </c>
      <c r="M5" s="4"/>
    </row>
    <row r="6" spans="1:13" ht="27">
      <c r="A6" s="4" t="s">
        <v>380</v>
      </c>
      <c r="B6" s="4" t="s">
        <v>211</v>
      </c>
      <c r="C6" s="4" t="s">
        <v>210</v>
      </c>
      <c r="D6" s="4" t="s">
        <v>381</v>
      </c>
      <c r="E6" s="4" t="s">
        <v>382</v>
      </c>
      <c r="F6" s="4"/>
      <c r="G6" s="4"/>
      <c r="H6" s="4" t="s">
        <v>364</v>
      </c>
      <c r="I6" s="4" t="s">
        <v>383</v>
      </c>
      <c r="J6" s="4" t="s">
        <v>241</v>
      </c>
      <c r="K6" s="4" t="s">
        <v>243</v>
      </c>
      <c r="L6" s="4" t="s">
        <v>384</v>
      </c>
      <c r="M6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"/>
  <sheetViews>
    <sheetView workbookViewId="0"/>
  </sheetViews>
  <sheetFormatPr defaultRowHeight="13.5"/>
  <cols>
    <col min="1" max="16" width="18" customWidth="1"/>
  </cols>
  <sheetData>
    <row r="1" spans="1:16" ht="27.75">
      <c r="A1" s="3" t="s">
        <v>385</v>
      </c>
      <c r="B1" s="3" t="s">
        <v>386</v>
      </c>
      <c r="C1" s="3" t="s">
        <v>159</v>
      </c>
      <c r="D1" s="3" t="s">
        <v>387</v>
      </c>
      <c r="E1" s="3" t="s">
        <v>162</v>
      </c>
      <c r="F1" s="3" t="s">
        <v>163</v>
      </c>
      <c r="G1" s="3" t="s">
        <v>388</v>
      </c>
      <c r="H1" s="3" t="s">
        <v>389</v>
      </c>
      <c r="I1" s="3" t="s">
        <v>390</v>
      </c>
      <c r="J1" s="3" t="s">
        <v>391</v>
      </c>
      <c r="K1" s="3" t="s">
        <v>392</v>
      </c>
      <c r="L1" s="3" t="s">
        <v>393</v>
      </c>
      <c r="M1" s="3" t="s">
        <v>394</v>
      </c>
      <c r="N1" s="3" t="s">
        <v>395</v>
      </c>
      <c r="O1" s="3" t="s">
        <v>396</v>
      </c>
      <c r="P1" s="3" t="s">
        <v>397</v>
      </c>
    </row>
    <row r="2" spans="1:16" ht="27">
      <c r="A2" s="4" t="s">
        <v>398</v>
      </c>
      <c r="B2" s="4" t="s">
        <v>399</v>
      </c>
      <c r="C2" s="4" t="s">
        <v>176</v>
      </c>
      <c r="D2" s="4" t="s">
        <v>400</v>
      </c>
      <c r="E2" s="4" t="s">
        <v>179</v>
      </c>
      <c r="F2" s="4" t="s">
        <v>401</v>
      </c>
      <c r="G2" s="4" t="s">
        <v>402</v>
      </c>
      <c r="H2" s="4" t="s">
        <v>403</v>
      </c>
      <c r="I2" s="4"/>
      <c r="J2" s="4" t="s">
        <v>186</v>
      </c>
      <c r="K2" s="4" t="s">
        <v>186</v>
      </c>
      <c r="L2" s="4" t="s">
        <v>186</v>
      </c>
      <c r="M2" s="4" t="s">
        <v>186</v>
      </c>
      <c r="N2" s="4" t="s">
        <v>181</v>
      </c>
      <c r="O2" s="4" t="s">
        <v>404</v>
      </c>
      <c r="P2" s="4" t="s">
        <v>405</v>
      </c>
    </row>
    <row r="3" spans="1:16" ht="27">
      <c r="A3" s="4" t="s">
        <v>406</v>
      </c>
      <c r="B3" s="4" t="s">
        <v>407</v>
      </c>
      <c r="C3" s="4" t="s">
        <v>211</v>
      </c>
      <c r="D3" s="4" t="s">
        <v>408</v>
      </c>
      <c r="E3" s="4" t="s">
        <v>179</v>
      </c>
      <c r="F3" s="4" t="s">
        <v>409</v>
      </c>
      <c r="G3" s="4" t="s">
        <v>410</v>
      </c>
      <c r="H3" s="4" t="s">
        <v>411</v>
      </c>
      <c r="I3" s="4"/>
      <c r="J3" s="4" t="s">
        <v>208</v>
      </c>
      <c r="K3" s="4" t="s">
        <v>181</v>
      </c>
      <c r="L3" s="4" t="s">
        <v>181</v>
      </c>
      <c r="M3" s="4" t="s">
        <v>181</v>
      </c>
      <c r="N3" s="4" t="s">
        <v>412</v>
      </c>
      <c r="O3" s="4" t="s">
        <v>413</v>
      </c>
      <c r="P3" s="4" t="s">
        <v>414</v>
      </c>
    </row>
    <row r="4" spans="1:16" ht="27">
      <c r="A4" s="4" t="s">
        <v>415</v>
      </c>
      <c r="B4" s="4" t="s">
        <v>416</v>
      </c>
      <c r="C4" s="4" t="s">
        <v>202</v>
      </c>
      <c r="D4" s="4" t="s">
        <v>417</v>
      </c>
      <c r="E4" s="4" t="s">
        <v>179</v>
      </c>
      <c r="F4" s="4" t="s">
        <v>418</v>
      </c>
      <c r="G4" s="4" t="s">
        <v>419</v>
      </c>
      <c r="H4" s="4" t="s">
        <v>420</v>
      </c>
      <c r="I4" s="4"/>
      <c r="J4" s="4" t="s">
        <v>208</v>
      </c>
      <c r="K4" s="4" t="s">
        <v>208</v>
      </c>
      <c r="L4" s="4" t="s">
        <v>181</v>
      </c>
      <c r="M4" s="4" t="s">
        <v>208</v>
      </c>
      <c r="N4" s="4" t="s">
        <v>412</v>
      </c>
      <c r="O4" s="4" t="s">
        <v>413</v>
      </c>
      <c r="P4" s="4" t="s">
        <v>421</v>
      </c>
    </row>
    <row r="5" spans="1:16" ht="27">
      <c r="A5" s="4" t="s">
        <v>422</v>
      </c>
      <c r="B5" s="4" t="s">
        <v>423</v>
      </c>
      <c r="C5" s="4" t="s">
        <v>191</v>
      </c>
      <c r="D5" s="4" t="s">
        <v>424</v>
      </c>
      <c r="E5" s="4" t="s">
        <v>179</v>
      </c>
      <c r="F5" s="4" t="s">
        <v>425</v>
      </c>
      <c r="G5" s="4" t="s">
        <v>426</v>
      </c>
      <c r="H5" s="4" t="s">
        <v>427</v>
      </c>
      <c r="I5" s="4"/>
      <c r="J5" s="4" t="s">
        <v>208</v>
      </c>
      <c r="K5" s="4" t="s">
        <v>208</v>
      </c>
      <c r="L5" s="4" t="s">
        <v>208</v>
      </c>
      <c r="M5" s="4" t="s">
        <v>208</v>
      </c>
      <c r="N5" s="4" t="s">
        <v>428</v>
      </c>
      <c r="O5" s="4" t="s">
        <v>429</v>
      </c>
      <c r="P5" s="4" t="s">
        <v>430</v>
      </c>
    </row>
    <row r="6" spans="1:16" ht="27">
      <c r="A6" s="4" t="s">
        <v>431</v>
      </c>
      <c r="B6" s="4" t="s">
        <v>432</v>
      </c>
      <c r="C6" s="4" t="s">
        <v>219</v>
      </c>
      <c r="D6" s="4" t="s">
        <v>433</v>
      </c>
      <c r="E6" s="4" t="s">
        <v>179</v>
      </c>
      <c r="F6" s="4" t="s">
        <v>434</v>
      </c>
      <c r="G6" s="4" t="s">
        <v>435</v>
      </c>
      <c r="H6" s="4" t="s">
        <v>436</v>
      </c>
      <c r="I6" s="4"/>
      <c r="J6" s="4" t="s">
        <v>208</v>
      </c>
      <c r="K6" s="4" t="s">
        <v>208</v>
      </c>
      <c r="L6" s="4" t="s">
        <v>208</v>
      </c>
      <c r="M6" s="4" t="s">
        <v>208</v>
      </c>
      <c r="N6" s="4" t="s">
        <v>428</v>
      </c>
      <c r="O6" s="4" t="s">
        <v>437</v>
      </c>
      <c r="P6" s="4" t="s">
        <v>120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workbookViewId="0"/>
  </sheetViews>
  <sheetFormatPr defaultRowHeight="13.5"/>
  <cols>
    <col min="1" max="8" width="18" customWidth="1"/>
    <col min="9" max="10" width="34" customWidth="1"/>
  </cols>
  <sheetData>
    <row r="1" spans="1:10" ht="13.9">
      <c r="A1" s="3" t="s">
        <v>438</v>
      </c>
      <c r="B1" s="3" t="s">
        <v>385</v>
      </c>
      <c r="C1" s="3" t="s">
        <v>386</v>
      </c>
      <c r="D1" s="3" t="s">
        <v>439</v>
      </c>
      <c r="E1" s="3" t="s">
        <v>273</v>
      </c>
      <c r="F1" s="3" t="s">
        <v>51</v>
      </c>
      <c r="G1" s="3" t="s">
        <v>274</v>
      </c>
      <c r="H1" s="3" t="s">
        <v>275</v>
      </c>
      <c r="I1" s="3" t="s">
        <v>276</v>
      </c>
      <c r="J1" s="3" t="s">
        <v>56</v>
      </c>
    </row>
    <row r="2" spans="1:10" ht="27">
      <c r="A2" s="4" t="s">
        <v>440</v>
      </c>
      <c r="B2" s="4" t="s">
        <v>398</v>
      </c>
      <c r="C2" s="4" t="s">
        <v>399</v>
      </c>
      <c r="D2" s="4" t="s">
        <v>441</v>
      </c>
      <c r="E2" s="4" t="s">
        <v>208</v>
      </c>
      <c r="F2" s="4" t="s">
        <v>181</v>
      </c>
      <c r="G2" s="4" t="s">
        <v>442</v>
      </c>
      <c r="H2" s="4" t="s">
        <v>216</v>
      </c>
      <c r="I2" s="4" t="s">
        <v>443</v>
      </c>
      <c r="J2" s="4"/>
    </row>
    <row r="3" spans="1:10" ht="27">
      <c r="A3" s="4" t="s">
        <v>444</v>
      </c>
      <c r="B3" s="4" t="s">
        <v>398</v>
      </c>
      <c r="C3" s="4" t="s">
        <v>399</v>
      </c>
      <c r="D3" s="4" t="s">
        <v>445</v>
      </c>
      <c r="E3" s="4" t="s">
        <v>208</v>
      </c>
      <c r="F3" s="4" t="s">
        <v>181</v>
      </c>
      <c r="G3" s="4" t="s">
        <v>446</v>
      </c>
      <c r="H3" s="4" t="s">
        <v>216</v>
      </c>
      <c r="I3" s="4" t="s">
        <v>447</v>
      </c>
      <c r="J3" s="4"/>
    </row>
    <row r="4" spans="1:10" ht="27">
      <c r="A4" s="4" t="s">
        <v>448</v>
      </c>
      <c r="B4" s="4" t="s">
        <v>398</v>
      </c>
      <c r="C4" s="4" t="s">
        <v>399</v>
      </c>
      <c r="D4" s="4" t="s">
        <v>449</v>
      </c>
      <c r="E4" s="4" t="s">
        <v>208</v>
      </c>
      <c r="F4" s="4" t="s">
        <v>181</v>
      </c>
      <c r="G4" s="4" t="s">
        <v>450</v>
      </c>
      <c r="H4" s="4" t="s">
        <v>216</v>
      </c>
      <c r="I4" s="4" t="s">
        <v>451</v>
      </c>
      <c r="J4" s="4"/>
    </row>
    <row r="5" spans="1:10" ht="40.5">
      <c r="A5" s="4" t="s">
        <v>452</v>
      </c>
      <c r="B5" s="4" t="s">
        <v>398</v>
      </c>
      <c r="C5" s="4" t="s">
        <v>399</v>
      </c>
      <c r="D5" s="4" t="s">
        <v>453</v>
      </c>
      <c r="E5" s="4" t="s">
        <v>208</v>
      </c>
      <c r="F5" s="4" t="s">
        <v>181</v>
      </c>
      <c r="G5" s="4" t="s">
        <v>454</v>
      </c>
      <c r="H5" s="4" t="s">
        <v>216</v>
      </c>
      <c r="I5" s="4" t="s">
        <v>455</v>
      </c>
      <c r="J5" s="4"/>
    </row>
    <row r="6" spans="1:10">
      <c r="A6" s="4" t="s">
        <v>456</v>
      </c>
      <c r="B6" s="4" t="s">
        <v>398</v>
      </c>
      <c r="C6" s="4" t="s">
        <v>399</v>
      </c>
      <c r="D6" s="4" t="s">
        <v>457</v>
      </c>
      <c r="E6" s="4" t="s">
        <v>208</v>
      </c>
      <c r="F6" s="4" t="s">
        <v>181</v>
      </c>
      <c r="G6" s="4" t="s">
        <v>458</v>
      </c>
      <c r="H6" s="4" t="s">
        <v>216</v>
      </c>
      <c r="I6" s="4" t="s">
        <v>459</v>
      </c>
      <c r="J6" s="4"/>
    </row>
    <row r="7" spans="1:10" ht="27">
      <c r="A7" s="4" t="s">
        <v>460</v>
      </c>
      <c r="B7" s="4" t="s">
        <v>398</v>
      </c>
      <c r="C7" s="4" t="s">
        <v>399</v>
      </c>
      <c r="D7" s="4" t="s">
        <v>461</v>
      </c>
      <c r="E7" s="4" t="s">
        <v>429</v>
      </c>
      <c r="F7" s="4" t="s">
        <v>181</v>
      </c>
      <c r="G7" s="4" t="s">
        <v>462</v>
      </c>
      <c r="H7" s="4" t="s">
        <v>216</v>
      </c>
      <c r="I7" s="4" t="s">
        <v>463</v>
      </c>
      <c r="J7" s="4"/>
    </row>
    <row r="8" spans="1:10" ht="27">
      <c r="A8" s="4" t="s">
        <v>464</v>
      </c>
      <c r="B8" s="4" t="s">
        <v>398</v>
      </c>
      <c r="C8" s="4" t="s">
        <v>399</v>
      </c>
      <c r="D8" s="4" t="s">
        <v>465</v>
      </c>
      <c r="E8" s="4" t="s">
        <v>208</v>
      </c>
      <c r="F8" s="4" t="s">
        <v>181</v>
      </c>
      <c r="G8" s="4" t="s">
        <v>466</v>
      </c>
      <c r="H8" s="4" t="s">
        <v>216</v>
      </c>
      <c r="I8" s="4" t="s">
        <v>467</v>
      </c>
      <c r="J8" s="4"/>
    </row>
    <row r="9" spans="1:10" ht="54">
      <c r="A9" s="4" t="s">
        <v>468</v>
      </c>
      <c r="B9" s="4" t="s">
        <v>398</v>
      </c>
      <c r="C9" s="4" t="s">
        <v>399</v>
      </c>
      <c r="D9" s="4" t="s">
        <v>469</v>
      </c>
      <c r="E9" s="4" t="s">
        <v>208</v>
      </c>
      <c r="F9" s="4" t="s">
        <v>181</v>
      </c>
      <c r="G9" s="4" t="s">
        <v>470</v>
      </c>
      <c r="H9" s="4" t="s">
        <v>216</v>
      </c>
      <c r="I9" s="4" t="s">
        <v>309</v>
      </c>
      <c r="J9" s="4"/>
    </row>
  </sheetData>
  <dataValidations count="1">
    <dataValidation type="list" sqref="F2:F200" xr:uid="{00000000-0002-0000-0800-000000000000}">
      <formula1>"Pending,Open,In Progress,Completed,Closed,Approved,Rejected,Hold,Planned,Future,Active,Paid,Unpaid,Partial"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"/>
  <sheetViews>
    <sheetView workbookViewId="0"/>
  </sheetViews>
  <sheetFormatPr defaultRowHeight="13.5"/>
  <cols>
    <col min="1" max="11" width="18" customWidth="1"/>
    <col min="12" max="12" width="34" customWidth="1"/>
  </cols>
  <sheetData>
    <row r="1" spans="1:12" ht="27.75">
      <c r="A1" s="3" t="s">
        <v>471</v>
      </c>
      <c r="B1" s="3" t="s">
        <v>385</v>
      </c>
      <c r="C1" s="3" t="s">
        <v>386</v>
      </c>
      <c r="D1" s="3" t="s">
        <v>159</v>
      </c>
      <c r="E1" s="3" t="s">
        <v>472</v>
      </c>
      <c r="F1" s="3" t="s">
        <v>473</v>
      </c>
      <c r="G1" s="3" t="s">
        <v>474</v>
      </c>
      <c r="H1" s="3" t="s">
        <v>475</v>
      </c>
      <c r="I1" s="3" t="s">
        <v>476</v>
      </c>
      <c r="J1" s="3" t="s">
        <v>477</v>
      </c>
      <c r="K1" s="3" t="s">
        <v>51</v>
      </c>
      <c r="L1" s="3" t="s">
        <v>56</v>
      </c>
    </row>
    <row r="2" spans="1:12" ht="27">
      <c r="A2" s="4" t="s">
        <v>478</v>
      </c>
      <c r="B2" s="4" t="s">
        <v>398</v>
      </c>
      <c r="C2" s="4" t="s">
        <v>399</v>
      </c>
      <c r="D2" s="4" t="s">
        <v>176</v>
      </c>
      <c r="E2" s="4" t="s">
        <v>208</v>
      </c>
      <c r="F2" s="4" t="s">
        <v>181</v>
      </c>
      <c r="G2" s="4" t="s">
        <v>479</v>
      </c>
      <c r="H2" s="4" t="s">
        <v>245</v>
      </c>
      <c r="I2" s="4"/>
      <c r="J2" s="4" t="s">
        <v>480</v>
      </c>
      <c r="K2" s="4" t="s">
        <v>181</v>
      </c>
      <c r="L2" s="4"/>
    </row>
    <row r="3" spans="1:12" ht="27">
      <c r="A3" s="4" t="s">
        <v>481</v>
      </c>
      <c r="B3" s="4" t="s">
        <v>406</v>
      </c>
      <c r="C3" s="4" t="s">
        <v>407</v>
      </c>
      <c r="D3" s="4" t="s">
        <v>211</v>
      </c>
      <c r="E3" s="4" t="s">
        <v>208</v>
      </c>
      <c r="F3" s="4" t="s">
        <v>181</v>
      </c>
      <c r="G3" s="4" t="s">
        <v>482</v>
      </c>
      <c r="H3" s="4" t="s">
        <v>263</v>
      </c>
      <c r="I3" s="4"/>
      <c r="J3" s="4" t="s">
        <v>480</v>
      </c>
      <c r="K3" s="4" t="s">
        <v>181</v>
      </c>
      <c r="L3" s="4"/>
    </row>
    <row r="4" spans="1:12" ht="27">
      <c r="A4" s="4" t="s">
        <v>483</v>
      </c>
      <c r="B4" s="4" t="s">
        <v>422</v>
      </c>
      <c r="C4" s="4" t="s">
        <v>423</v>
      </c>
      <c r="D4" s="4" t="s">
        <v>191</v>
      </c>
      <c r="E4" s="4" t="s">
        <v>208</v>
      </c>
      <c r="F4" s="4" t="s">
        <v>437</v>
      </c>
      <c r="G4" s="4" t="s">
        <v>429</v>
      </c>
      <c r="H4" s="4" t="s">
        <v>255</v>
      </c>
      <c r="I4" s="4"/>
      <c r="J4" s="4" t="s">
        <v>480</v>
      </c>
      <c r="K4" s="4" t="s">
        <v>437</v>
      </c>
      <c r="L4" s="4" t="s">
        <v>484</v>
      </c>
    </row>
    <row r="5" spans="1:12">
      <c r="A5" s="4" t="s">
        <v>485</v>
      </c>
      <c r="B5" s="4" t="s">
        <v>431</v>
      </c>
      <c r="C5" s="4" t="s">
        <v>432</v>
      </c>
      <c r="D5" s="4" t="s">
        <v>219</v>
      </c>
      <c r="E5" s="4" t="s">
        <v>486</v>
      </c>
      <c r="F5" s="4" t="s">
        <v>437</v>
      </c>
      <c r="G5" s="4" t="s">
        <v>487</v>
      </c>
      <c r="H5" s="4" t="s">
        <v>269</v>
      </c>
      <c r="I5" s="4"/>
      <c r="J5" s="4" t="s">
        <v>488</v>
      </c>
      <c r="K5" s="4" t="s">
        <v>437</v>
      </c>
      <c r="L5" s="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"/>
  <sheetViews>
    <sheetView workbookViewId="0"/>
  </sheetViews>
  <sheetFormatPr defaultRowHeight="13.5"/>
  <cols>
    <col min="1" max="16" width="18" customWidth="1"/>
    <col min="17" max="17" width="34" customWidth="1"/>
  </cols>
  <sheetData>
    <row r="1" spans="1:17" ht="27.75">
      <c r="A1" s="3" t="s">
        <v>489</v>
      </c>
      <c r="B1" s="3" t="s">
        <v>159</v>
      </c>
      <c r="C1" s="3" t="s">
        <v>158</v>
      </c>
      <c r="D1" s="3" t="s">
        <v>386</v>
      </c>
      <c r="E1" s="3" t="s">
        <v>112</v>
      </c>
      <c r="F1" s="3" t="s">
        <v>490</v>
      </c>
      <c r="G1" s="3" t="s">
        <v>491</v>
      </c>
      <c r="H1" s="3" t="s">
        <v>492</v>
      </c>
      <c r="I1" s="3" t="s">
        <v>493</v>
      </c>
      <c r="J1" s="3" t="s">
        <v>233</v>
      </c>
      <c r="K1" s="3" t="s">
        <v>494</v>
      </c>
      <c r="L1" s="3" t="s">
        <v>495</v>
      </c>
      <c r="M1" s="3" t="s">
        <v>496</v>
      </c>
      <c r="N1" s="3" t="s">
        <v>497</v>
      </c>
      <c r="O1" s="3" t="s">
        <v>498</v>
      </c>
      <c r="P1" s="3" t="s">
        <v>499</v>
      </c>
      <c r="Q1" s="3" t="s">
        <v>56</v>
      </c>
    </row>
    <row r="2" spans="1:17" ht="27">
      <c r="A2" s="4" t="s">
        <v>500</v>
      </c>
      <c r="B2" s="4" t="s">
        <v>176</v>
      </c>
      <c r="C2" s="4" t="s">
        <v>175</v>
      </c>
      <c r="D2" s="4" t="s">
        <v>399</v>
      </c>
      <c r="E2" s="4" t="s">
        <v>113</v>
      </c>
      <c r="F2" s="4"/>
      <c r="G2" s="4"/>
      <c r="H2" s="4" t="s">
        <v>248</v>
      </c>
      <c r="I2" s="4" t="s">
        <v>245</v>
      </c>
      <c r="J2" s="4" t="s">
        <v>246</v>
      </c>
      <c r="K2" s="4" t="s">
        <v>501</v>
      </c>
      <c r="L2" s="4" t="s">
        <v>502</v>
      </c>
      <c r="M2" s="4" t="s">
        <v>503</v>
      </c>
      <c r="N2" s="4"/>
      <c r="O2" s="4"/>
      <c r="P2" s="4"/>
      <c r="Q2" s="4"/>
    </row>
    <row r="3" spans="1:17" ht="27">
      <c r="A3" s="4" t="s">
        <v>504</v>
      </c>
      <c r="B3" s="4" t="s">
        <v>191</v>
      </c>
      <c r="C3" s="4" t="s">
        <v>190</v>
      </c>
      <c r="D3" s="4" t="s">
        <v>423</v>
      </c>
      <c r="E3" s="4" t="s">
        <v>115</v>
      </c>
      <c r="F3" s="4"/>
      <c r="G3" s="4"/>
      <c r="H3" s="4" t="s">
        <v>248</v>
      </c>
      <c r="I3" s="4" t="s">
        <v>255</v>
      </c>
      <c r="J3" s="4" t="s">
        <v>246</v>
      </c>
      <c r="K3" s="4" t="s">
        <v>501</v>
      </c>
      <c r="L3" s="4" t="s">
        <v>502</v>
      </c>
      <c r="M3" s="4" t="s">
        <v>503</v>
      </c>
      <c r="N3" s="4"/>
      <c r="O3" s="4"/>
      <c r="P3" s="4"/>
      <c r="Q3" s="4" t="s">
        <v>258</v>
      </c>
    </row>
    <row r="4" spans="1:17" ht="27">
      <c r="A4" s="4" t="s">
        <v>505</v>
      </c>
      <c r="B4" s="4" t="s">
        <v>219</v>
      </c>
      <c r="C4" s="4" t="s">
        <v>218</v>
      </c>
      <c r="D4" s="4" t="s">
        <v>432</v>
      </c>
      <c r="E4" s="4" t="s">
        <v>119</v>
      </c>
      <c r="F4" s="4"/>
      <c r="G4" s="4"/>
      <c r="H4" s="4" t="s">
        <v>248</v>
      </c>
      <c r="I4" s="4" t="s">
        <v>269</v>
      </c>
      <c r="J4" s="4" t="s">
        <v>246</v>
      </c>
      <c r="K4" s="4" t="s">
        <v>501</v>
      </c>
      <c r="L4" s="4" t="s">
        <v>502</v>
      </c>
      <c r="M4" s="4" t="s">
        <v>503</v>
      </c>
      <c r="N4" s="4"/>
      <c r="O4" s="4"/>
      <c r="P4" s="4"/>
      <c r="Q4" s="4" t="s">
        <v>506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"/>
  <sheetViews>
    <sheetView workbookViewId="0"/>
  </sheetViews>
  <sheetFormatPr defaultRowHeight="13.5"/>
  <cols>
    <col min="1" max="9" width="18" customWidth="1"/>
    <col min="10" max="10" width="34" customWidth="1"/>
  </cols>
  <sheetData>
    <row r="1" spans="1:10" ht="13.9">
      <c r="A1" s="3" t="s">
        <v>507</v>
      </c>
      <c r="B1" s="3" t="s">
        <v>489</v>
      </c>
      <c r="C1" s="3" t="s">
        <v>386</v>
      </c>
      <c r="D1" s="3" t="s">
        <v>159</v>
      </c>
      <c r="E1" s="3" t="s">
        <v>272</v>
      </c>
      <c r="F1" s="3" t="s">
        <v>273</v>
      </c>
      <c r="G1" s="3" t="s">
        <v>51</v>
      </c>
      <c r="H1" s="3" t="s">
        <v>274</v>
      </c>
      <c r="I1" s="3" t="s">
        <v>275</v>
      </c>
      <c r="J1" s="3" t="s">
        <v>56</v>
      </c>
    </row>
    <row r="2" spans="1:10" ht="27">
      <c r="A2" s="4" t="s">
        <v>508</v>
      </c>
      <c r="B2" s="4" t="s">
        <v>500</v>
      </c>
      <c r="C2" s="4" t="s">
        <v>399</v>
      </c>
      <c r="D2" s="4" t="s">
        <v>176</v>
      </c>
      <c r="E2" s="4" t="s">
        <v>509</v>
      </c>
      <c r="F2" s="4" t="s">
        <v>208</v>
      </c>
      <c r="G2" s="4" t="s">
        <v>181</v>
      </c>
      <c r="H2" s="4" t="s">
        <v>510</v>
      </c>
      <c r="I2" s="4" t="s">
        <v>280</v>
      </c>
      <c r="J2" s="4"/>
    </row>
    <row r="3" spans="1:10" ht="27">
      <c r="A3" s="4" t="s">
        <v>511</v>
      </c>
      <c r="B3" s="4" t="s">
        <v>500</v>
      </c>
      <c r="C3" s="4" t="s">
        <v>399</v>
      </c>
      <c r="D3" s="4" t="s">
        <v>176</v>
      </c>
      <c r="E3" s="4" t="s">
        <v>512</v>
      </c>
      <c r="F3" s="4" t="s">
        <v>208</v>
      </c>
      <c r="G3" s="4" t="s">
        <v>181</v>
      </c>
      <c r="H3" s="4" t="s">
        <v>513</v>
      </c>
      <c r="I3" s="4" t="s">
        <v>304</v>
      </c>
      <c r="J3" s="4" t="s">
        <v>514</v>
      </c>
    </row>
    <row r="4" spans="1:10" ht="40.5">
      <c r="A4" s="4" t="s">
        <v>515</v>
      </c>
      <c r="B4" s="4" t="s">
        <v>500</v>
      </c>
      <c r="C4" s="4" t="s">
        <v>399</v>
      </c>
      <c r="D4" s="4" t="s">
        <v>176</v>
      </c>
      <c r="E4" s="4" t="s">
        <v>516</v>
      </c>
      <c r="F4" s="4" t="s">
        <v>208</v>
      </c>
      <c r="G4" s="4" t="s">
        <v>181</v>
      </c>
      <c r="H4" s="4" t="s">
        <v>513</v>
      </c>
      <c r="I4" s="4" t="s">
        <v>304</v>
      </c>
      <c r="J4" s="4" t="s">
        <v>517</v>
      </c>
    </row>
    <row r="5" spans="1:10" ht="27">
      <c r="A5" s="4" t="s">
        <v>518</v>
      </c>
      <c r="B5" s="4" t="s">
        <v>500</v>
      </c>
      <c r="C5" s="4" t="s">
        <v>399</v>
      </c>
      <c r="D5" s="4" t="s">
        <v>176</v>
      </c>
      <c r="E5" s="4" t="s">
        <v>519</v>
      </c>
      <c r="F5" s="4" t="s">
        <v>208</v>
      </c>
      <c r="G5" s="4" t="s">
        <v>181</v>
      </c>
      <c r="H5" s="4" t="s">
        <v>520</v>
      </c>
      <c r="I5" s="4" t="s">
        <v>322</v>
      </c>
      <c r="J5" s="4"/>
    </row>
    <row r="6" spans="1:10" ht="27">
      <c r="A6" s="4" t="s">
        <v>521</v>
      </c>
      <c r="B6" s="4" t="s">
        <v>500</v>
      </c>
      <c r="C6" s="4" t="s">
        <v>399</v>
      </c>
      <c r="D6" s="4" t="s">
        <v>176</v>
      </c>
      <c r="E6" s="4" t="s">
        <v>522</v>
      </c>
      <c r="F6" s="4" t="s">
        <v>208</v>
      </c>
      <c r="G6" s="4" t="s">
        <v>181</v>
      </c>
      <c r="H6" s="4" t="s">
        <v>523</v>
      </c>
      <c r="I6" s="4" t="s">
        <v>317</v>
      </c>
      <c r="J6" s="4"/>
    </row>
    <row r="7" spans="1:10" ht="27">
      <c r="A7" s="4" t="s">
        <v>524</v>
      </c>
      <c r="B7" s="4" t="s">
        <v>500</v>
      </c>
      <c r="C7" s="4" t="s">
        <v>399</v>
      </c>
      <c r="D7" s="4" t="s">
        <v>176</v>
      </c>
      <c r="E7" s="4" t="s">
        <v>525</v>
      </c>
      <c r="F7" s="4" t="s">
        <v>208</v>
      </c>
      <c r="G7" s="4" t="s">
        <v>181</v>
      </c>
      <c r="H7" s="4" t="s">
        <v>526</v>
      </c>
      <c r="I7" s="4" t="s">
        <v>317</v>
      </c>
      <c r="J7" s="4"/>
    </row>
    <row r="8" spans="1:10" ht="40.5">
      <c r="A8" s="4" t="s">
        <v>527</v>
      </c>
      <c r="B8" s="4" t="s">
        <v>500</v>
      </c>
      <c r="C8" s="4" t="s">
        <v>399</v>
      </c>
      <c r="D8" s="4" t="s">
        <v>176</v>
      </c>
      <c r="E8" s="4" t="s">
        <v>528</v>
      </c>
      <c r="F8" s="4" t="s">
        <v>208</v>
      </c>
      <c r="G8" s="4" t="s">
        <v>181</v>
      </c>
      <c r="H8" s="4" t="s">
        <v>529</v>
      </c>
      <c r="I8" s="4" t="s">
        <v>270</v>
      </c>
      <c r="J8" s="4"/>
    </row>
    <row r="9" spans="1:10" ht="27">
      <c r="A9" s="4" t="s">
        <v>530</v>
      </c>
      <c r="B9" s="4" t="s">
        <v>500</v>
      </c>
      <c r="C9" s="4" t="s">
        <v>399</v>
      </c>
      <c r="D9" s="4" t="s">
        <v>176</v>
      </c>
      <c r="E9" s="4" t="s">
        <v>531</v>
      </c>
      <c r="F9" s="4" t="s">
        <v>532</v>
      </c>
      <c r="G9" s="4" t="s">
        <v>181</v>
      </c>
      <c r="H9" s="4" t="s">
        <v>533</v>
      </c>
      <c r="I9" s="4" t="s">
        <v>317</v>
      </c>
      <c r="J9" s="4"/>
    </row>
    <row r="10" spans="1:10" ht="27">
      <c r="A10" s="4" t="s">
        <v>534</v>
      </c>
      <c r="B10" s="4" t="s">
        <v>500</v>
      </c>
      <c r="C10" s="4" t="s">
        <v>399</v>
      </c>
      <c r="D10" s="4" t="s">
        <v>176</v>
      </c>
      <c r="E10" s="4" t="s">
        <v>535</v>
      </c>
      <c r="F10" s="4" t="s">
        <v>208</v>
      </c>
      <c r="G10" s="4" t="s">
        <v>181</v>
      </c>
      <c r="H10" s="4" t="s">
        <v>536</v>
      </c>
      <c r="I10" s="4" t="s">
        <v>280</v>
      </c>
      <c r="J10" s="4"/>
    </row>
  </sheetData>
  <dataValidations count="1">
    <dataValidation type="list" sqref="G2:G200" xr:uid="{00000000-0002-0000-0B00-000000000000}">
      <formula1>"Pending,Open,In Progress,Completed,Closed,Approved,Rejected,Hold,Planned,Future,Active,Paid,Unpaid,Partial"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00"/>
  <sheetViews>
    <sheetView workbookViewId="0"/>
  </sheetViews>
  <sheetFormatPr defaultRowHeight="13.5"/>
  <cols>
    <col min="1" max="17" width="18" customWidth="1"/>
    <col min="18" max="18" width="34" customWidth="1"/>
  </cols>
  <sheetData>
    <row r="1" spans="1:18" ht="13.9">
      <c r="A1" s="3" t="s">
        <v>537</v>
      </c>
      <c r="B1" s="3" t="s">
        <v>489</v>
      </c>
      <c r="C1" s="3" t="s">
        <v>159</v>
      </c>
      <c r="D1" s="3" t="s">
        <v>158</v>
      </c>
      <c r="E1" s="3" t="s">
        <v>386</v>
      </c>
      <c r="F1" s="3" t="s">
        <v>538</v>
      </c>
      <c r="G1" s="3" t="s">
        <v>328</v>
      </c>
      <c r="H1" s="3" t="s">
        <v>493</v>
      </c>
      <c r="I1" s="3" t="s">
        <v>539</v>
      </c>
      <c r="J1" s="3" t="s">
        <v>540</v>
      </c>
      <c r="K1" s="3" t="s">
        <v>541</v>
      </c>
      <c r="L1" s="3" t="s">
        <v>542</v>
      </c>
      <c r="M1" s="3" t="s">
        <v>543</v>
      </c>
      <c r="N1" s="3" t="s">
        <v>544</v>
      </c>
      <c r="O1" s="3" t="s">
        <v>545</v>
      </c>
      <c r="P1" s="3" t="s">
        <v>89</v>
      </c>
      <c r="Q1" s="3" t="s">
        <v>546</v>
      </c>
      <c r="R1" s="3" t="s">
        <v>56</v>
      </c>
    </row>
    <row r="2" spans="1:18">
      <c r="A2" s="4" t="s">
        <v>547</v>
      </c>
      <c r="B2" s="4" t="s">
        <v>505</v>
      </c>
      <c r="C2" s="4" t="s">
        <v>219</v>
      </c>
      <c r="D2" s="4" t="s">
        <v>218</v>
      </c>
      <c r="E2" s="4" t="s">
        <v>432</v>
      </c>
      <c r="F2" s="4" t="s">
        <v>548</v>
      </c>
      <c r="G2" s="7" t="s">
        <v>549</v>
      </c>
      <c r="H2" s="5">
        <v>60000</v>
      </c>
      <c r="I2" s="5">
        <v>0</v>
      </c>
      <c r="J2" s="5">
        <f t="shared" ref="J2:J33" si="0">H2+I2</f>
        <v>60000</v>
      </c>
      <c r="K2" s="5">
        <v>60000</v>
      </c>
      <c r="L2" s="4" t="s">
        <v>550</v>
      </c>
      <c r="M2" s="7" t="s">
        <v>549</v>
      </c>
      <c r="N2" s="5">
        <f t="shared" ref="N2:N33" si="1">MAX(0,J2-K2)</f>
        <v>0</v>
      </c>
      <c r="O2" s="4">
        <f t="shared" ref="O2:O33" ca="1" si="2">IF(N2=0,0,IF(M2="",MAX(0,TODAY()-DATEVALUE(G2)),MAX(0,DATEVALUE(M2)-DATEVALUE(G2))))</f>
        <v>0</v>
      </c>
      <c r="P2" s="4" t="str">
        <f t="shared" ref="P2:P33" si="3">IF(K2=0,"Unpaid",IF(K2&lt;J2,"Partial",IF(K2=J2,"Paid","Overpaid")))</f>
        <v>Paid</v>
      </c>
      <c r="Q2" s="4" t="str">
        <f t="shared" ref="Q2:Q33" si="4">IF(N2=0,"None",IF(O2&lt;=7,"1-7 Days Overdue",IF(O2&lt;=14,"8-14 Days Overdue",IF(O2&gt;=15,"15+ Days Overdue","Review"))))</f>
        <v>None</v>
      </c>
      <c r="R2" s="4" t="s">
        <v>551</v>
      </c>
    </row>
    <row r="3" spans="1:18">
      <c r="A3" s="4" t="s">
        <v>552</v>
      </c>
      <c r="B3" s="4" t="s">
        <v>505</v>
      </c>
      <c r="C3" s="4" t="s">
        <v>219</v>
      </c>
      <c r="D3" s="4" t="s">
        <v>218</v>
      </c>
      <c r="E3" s="4" t="s">
        <v>432</v>
      </c>
      <c r="F3" s="4" t="s">
        <v>553</v>
      </c>
      <c r="G3" s="7" t="s">
        <v>554</v>
      </c>
      <c r="H3" s="5">
        <v>60000</v>
      </c>
      <c r="I3" s="5">
        <v>0</v>
      </c>
      <c r="J3" s="5">
        <f t="shared" si="0"/>
        <v>60000</v>
      </c>
      <c r="K3" s="5">
        <v>45000</v>
      </c>
      <c r="L3" s="4" t="s">
        <v>555</v>
      </c>
      <c r="M3" s="7" t="s">
        <v>556</v>
      </c>
      <c r="N3" s="5">
        <f t="shared" si="1"/>
        <v>15000</v>
      </c>
      <c r="O3" s="4">
        <f t="shared" ca="1" si="2"/>
        <v>3</v>
      </c>
      <c r="P3" s="4" t="str">
        <f t="shared" si="3"/>
        <v>Partial</v>
      </c>
      <c r="Q3" s="4" t="str">
        <f t="shared" ca="1" si="4"/>
        <v>1-7 Days Overdue</v>
      </c>
      <c r="R3" s="4" t="s">
        <v>557</v>
      </c>
    </row>
    <row r="4" spans="1:18">
      <c r="A4" s="4" t="s">
        <v>558</v>
      </c>
      <c r="B4" s="4" t="s">
        <v>504</v>
      </c>
      <c r="C4" s="4" t="s">
        <v>191</v>
      </c>
      <c r="D4" s="4" t="s">
        <v>190</v>
      </c>
      <c r="E4" s="4" t="s">
        <v>423</v>
      </c>
      <c r="F4" s="4" t="s">
        <v>559</v>
      </c>
      <c r="G4" s="7" t="s">
        <v>560</v>
      </c>
      <c r="H4" s="5">
        <v>50000</v>
      </c>
      <c r="I4" s="5">
        <v>0</v>
      </c>
      <c r="J4" s="5">
        <f t="shared" si="0"/>
        <v>50000</v>
      </c>
      <c r="K4" s="5">
        <v>0</v>
      </c>
      <c r="L4" s="4"/>
      <c r="M4" s="7"/>
      <c r="N4" s="5">
        <f t="shared" si="1"/>
        <v>50000</v>
      </c>
      <c r="O4" s="4">
        <f t="shared" ca="1" si="2"/>
        <v>107</v>
      </c>
      <c r="P4" s="4" t="str">
        <f t="shared" si="3"/>
        <v>Unpaid</v>
      </c>
      <c r="Q4" s="4" t="str">
        <f t="shared" ca="1" si="4"/>
        <v>15+ Days Overdue</v>
      </c>
      <c r="R4" s="4" t="s">
        <v>561</v>
      </c>
    </row>
    <row r="5" spans="1:18">
      <c r="A5" s="4" t="s">
        <v>562</v>
      </c>
      <c r="B5" s="4" t="s">
        <v>500</v>
      </c>
      <c r="C5" s="4" t="s">
        <v>176</v>
      </c>
      <c r="D5" s="4" t="s">
        <v>175</v>
      </c>
      <c r="E5" s="4" t="s">
        <v>399</v>
      </c>
      <c r="F5" s="4" t="s">
        <v>559</v>
      </c>
      <c r="G5" s="7" t="s">
        <v>560</v>
      </c>
      <c r="H5" s="5">
        <v>25000</v>
      </c>
      <c r="I5" s="5">
        <v>0</v>
      </c>
      <c r="J5" s="5">
        <f t="shared" si="0"/>
        <v>25000</v>
      </c>
      <c r="K5" s="5">
        <v>0</v>
      </c>
      <c r="L5" s="4"/>
      <c r="M5" s="7"/>
      <c r="N5" s="5">
        <f t="shared" si="1"/>
        <v>25000</v>
      </c>
      <c r="O5" s="4">
        <f t="shared" ca="1" si="2"/>
        <v>107</v>
      </c>
      <c r="P5" s="4" t="str">
        <f t="shared" si="3"/>
        <v>Unpaid</v>
      </c>
      <c r="Q5" s="4" t="str">
        <f t="shared" ca="1" si="4"/>
        <v>15+ Days Overdue</v>
      </c>
      <c r="R5" s="4" t="s">
        <v>563</v>
      </c>
    </row>
    <row r="6" spans="1:18">
      <c r="A6" s="4" t="s">
        <v>564</v>
      </c>
      <c r="B6" s="4" t="s">
        <v>505</v>
      </c>
      <c r="C6" s="4" t="s">
        <v>219</v>
      </c>
      <c r="D6" s="4" t="s">
        <v>218</v>
      </c>
      <c r="E6" s="4" t="s">
        <v>432</v>
      </c>
      <c r="F6" s="4" t="s">
        <v>559</v>
      </c>
      <c r="G6" s="7" t="s">
        <v>560</v>
      </c>
      <c r="H6" s="5">
        <v>60000</v>
      </c>
      <c r="I6" s="5">
        <v>15000</v>
      </c>
      <c r="J6" s="5">
        <f t="shared" si="0"/>
        <v>75000</v>
      </c>
      <c r="K6" s="5">
        <v>75000</v>
      </c>
      <c r="L6" s="4" t="s">
        <v>565</v>
      </c>
      <c r="M6" s="7" t="s">
        <v>566</v>
      </c>
      <c r="N6" s="5">
        <f t="shared" si="1"/>
        <v>0</v>
      </c>
      <c r="O6" s="4">
        <f t="shared" ca="1" si="2"/>
        <v>0</v>
      </c>
      <c r="P6" s="4" t="str">
        <f t="shared" si="3"/>
        <v>Paid</v>
      </c>
      <c r="Q6" s="4" t="str">
        <f t="shared" si="4"/>
        <v>None</v>
      </c>
      <c r="R6" s="4" t="s">
        <v>567</v>
      </c>
    </row>
    <row r="7" spans="1:18">
      <c r="G7" s="8"/>
      <c r="H7" s="6"/>
      <c r="I7" s="6"/>
      <c r="J7" s="6">
        <f t="shared" si="0"/>
        <v>0</v>
      </c>
      <c r="K7" s="6"/>
      <c r="M7" s="8"/>
      <c r="N7" s="6">
        <f t="shared" si="1"/>
        <v>0</v>
      </c>
      <c r="O7">
        <f t="shared" ca="1" si="2"/>
        <v>0</v>
      </c>
      <c r="P7" t="str">
        <f t="shared" si="3"/>
        <v>Unpaid</v>
      </c>
      <c r="Q7" t="str">
        <f t="shared" si="4"/>
        <v>None</v>
      </c>
    </row>
    <row r="8" spans="1:18">
      <c r="G8" s="8"/>
      <c r="H8" s="6"/>
      <c r="I8" s="6"/>
      <c r="J8" s="6">
        <f t="shared" si="0"/>
        <v>0</v>
      </c>
      <c r="K8" s="6"/>
      <c r="M8" s="8"/>
      <c r="N8" s="6">
        <f t="shared" si="1"/>
        <v>0</v>
      </c>
      <c r="O8">
        <f t="shared" ca="1" si="2"/>
        <v>0</v>
      </c>
      <c r="P8" t="str">
        <f t="shared" si="3"/>
        <v>Unpaid</v>
      </c>
      <c r="Q8" t="str">
        <f t="shared" si="4"/>
        <v>None</v>
      </c>
    </row>
    <row r="9" spans="1:18">
      <c r="G9" s="8"/>
      <c r="H9" s="6"/>
      <c r="I9" s="6"/>
      <c r="J9" s="6">
        <f t="shared" si="0"/>
        <v>0</v>
      </c>
      <c r="K9" s="6"/>
      <c r="M9" s="8"/>
      <c r="N9" s="6">
        <f t="shared" si="1"/>
        <v>0</v>
      </c>
      <c r="O9">
        <f t="shared" ca="1" si="2"/>
        <v>0</v>
      </c>
      <c r="P9" t="str">
        <f t="shared" si="3"/>
        <v>Unpaid</v>
      </c>
      <c r="Q9" t="str">
        <f t="shared" si="4"/>
        <v>None</v>
      </c>
    </row>
    <row r="10" spans="1:18">
      <c r="G10" s="8"/>
      <c r="H10" s="6"/>
      <c r="I10" s="6"/>
      <c r="J10" s="6">
        <f t="shared" si="0"/>
        <v>0</v>
      </c>
      <c r="K10" s="6"/>
      <c r="M10" s="8"/>
      <c r="N10" s="6">
        <f t="shared" si="1"/>
        <v>0</v>
      </c>
      <c r="O10">
        <f t="shared" ca="1" si="2"/>
        <v>0</v>
      </c>
      <c r="P10" t="str">
        <f t="shared" si="3"/>
        <v>Unpaid</v>
      </c>
      <c r="Q10" t="str">
        <f t="shared" si="4"/>
        <v>None</v>
      </c>
    </row>
    <row r="11" spans="1:18">
      <c r="G11" s="8"/>
      <c r="H11" s="6"/>
      <c r="I11" s="6"/>
      <c r="J11" s="6">
        <f t="shared" si="0"/>
        <v>0</v>
      </c>
      <c r="K11" s="6"/>
      <c r="M11" s="8"/>
      <c r="N11" s="6">
        <f t="shared" si="1"/>
        <v>0</v>
      </c>
      <c r="O11">
        <f t="shared" ca="1" si="2"/>
        <v>0</v>
      </c>
      <c r="P11" t="str">
        <f t="shared" si="3"/>
        <v>Unpaid</v>
      </c>
      <c r="Q11" t="str">
        <f t="shared" si="4"/>
        <v>None</v>
      </c>
    </row>
    <row r="12" spans="1:18">
      <c r="G12" s="8"/>
      <c r="H12" s="6"/>
      <c r="I12" s="6"/>
      <c r="J12" s="6">
        <f t="shared" si="0"/>
        <v>0</v>
      </c>
      <c r="K12" s="6"/>
      <c r="M12" s="8"/>
      <c r="N12" s="6">
        <f t="shared" si="1"/>
        <v>0</v>
      </c>
      <c r="O12">
        <f t="shared" ca="1" si="2"/>
        <v>0</v>
      </c>
      <c r="P12" t="str">
        <f t="shared" si="3"/>
        <v>Unpaid</v>
      </c>
      <c r="Q12" t="str">
        <f t="shared" si="4"/>
        <v>None</v>
      </c>
    </row>
    <row r="13" spans="1:18">
      <c r="G13" s="8"/>
      <c r="H13" s="6"/>
      <c r="I13" s="6"/>
      <c r="J13" s="6">
        <f t="shared" si="0"/>
        <v>0</v>
      </c>
      <c r="K13" s="6"/>
      <c r="M13" s="8"/>
      <c r="N13" s="6">
        <f t="shared" si="1"/>
        <v>0</v>
      </c>
      <c r="O13">
        <f t="shared" ca="1" si="2"/>
        <v>0</v>
      </c>
      <c r="P13" t="str">
        <f t="shared" si="3"/>
        <v>Unpaid</v>
      </c>
      <c r="Q13" t="str">
        <f t="shared" si="4"/>
        <v>None</v>
      </c>
    </row>
    <row r="14" spans="1:18">
      <c r="G14" s="8"/>
      <c r="H14" s="6"/>
      <c r="I14" s="6"/>
      <c r="J14" s="6">
        <f t="shared" si="0"/>
        <v>0</v>
      </c>
      <c r="K14" s="6"/>
      <c r="M14" s="8"/>
      <c r="N14" s="6">
        <f t="shared" si="1"/>
        <v>0</v>
      </c>
      <c r="O14">
        <f t="shared" ca="1" si="2"/>
        <v>0</v>
      </c>
      <c r="P14" t="str">
        <f t="shared" si="3"/>
        <v>Unpaid</v>
      </c>
      <c r="Q14" t="str">
        <f t="shared" si="4"/>
        <v>None</v>
      </c>
    </row>
    <row r="15" spans="1:18">
      <c r="G15" s="8"/>
      <c r="H15" s="6"/>
      <c r="I15" s="6"/>
      <c r="J15" s="6">
        <f t="shared" si="0"/>
        <v>0</v>
      </c>
      <c r="K15" s="6"/>
      <c r="M15" s="8"/>
      <c r="N15" s="6">
        <f t="shared" si="1"/>
        <v>0</v>
      </c>
      <c r="O15">
        <f t="shared" ca="1" si="2"/>
        <v>0</v>
      </c>
      <c r="P15" t="str">
        <f t="shared" si="3"/>
        <v>Unpaid</v>
      </c>
      <c r="Q15" t="str">
        <f t="shared" si="4"/>
        <v>None</v>
      </c>
    </row>
    <row r="16" spans="1:18">
      <c r="G16" s="8"/>
      <c r="H16" s="6"/>
      <c r="I16" s="6"/>
      <c r="J16" s="6">
        <f t="shared" si="0"/>
        <v>0</v>
      </c>
      <c r="K16" s="6"/>
      <c r="M16" s="8"/>
      <c r="N16" s="6">
        <f t="shared" si="1"/>
        <v>0</v>
      </c>
      <c r="O16">
        <f t="shared" ca="1" si="2"/>
        <v>0</v>
      </c>
      <c r="P16" t="str">
        <f t="shared" si="3"/>
        <v>Unpaid</v>
      </c>
      <c r="Q16" t="str">
        <f t="shared" si="4"/>
        <v>None</v>
      </c>
    </row>
    <row r="17" spans="7:17">
      <c r="G17" s="8"/>
      <c r="H17" s="6"/>
      <c r="I17" s="6"/>
      <c r="J17" s="6">
        <f t="shared" si="0"/>
        <v>0</v>
      </c>
      <c r="K17" s="6"/>
      <c r="M17" s="8"/>
      <c r="N17" s="6">
        <f t="shared" si="1"/>
        <v>0</v>
      </c>
      <c r="O17">
        <f t="shared" ca="1" si="2"/>
        <v>0</v>
      </c>
      <c r="P17" t="str">
        <f t="shared" si="3"/>
        <v>Unpaid</v>
      </c>
      <c r="Q17" t="str">
        <f t="shared" si="4"/>
        <v>None</v>
      </c>
    </row>
    <row r="18" spans="7:17">
      <c r="G18" s="8"/>
      <c r="H18" s="6"/>
      <c r="I18" s="6"/>
      <c r="J18" s="6">
        <f t="shared" si="0"/>
        <v>0</v>
      </c>
      <c r="K18" s="6"/>
      <c r="M18" s="8"/>
      <c r="N18" s="6">
        <f t="shared" si="1"/>
        <v>0</v>
      </c>
      <c r="O18">
        <f t="shared" ca="1" si="2"/>
        <v>0</v>
      </c>
      <c r="P18" t="str">
        <f t="shared" si="3"/>
        <v>Unpaid</v>
      </c>
      <c r="Q18" t="str">
        <f t="shared" si="4"/>
        <v>None</v>
      </c>
    </row>
    <row r="19" spans="7:17">
      <c r="G19" s="8"/>
      <c r="H19" s="6"/>
      <c r="I19" s="6"/>
      <c r="J19" s="6">
        <f t="shared" si="0"/>
        <v>0</v>
      </c>
      <c r="K19" s="6"/>
      <c r="M19" s="8"/>
      <c r="N19" s="6">
        <f t="shared" si="1"/>
        <v>0</v>
      </c>
      <c r="O19">
        <f t="shared" ca="1" si="2"/>
        <v>0</v>
      </c>
      <c r="P19" t="str">
        <f t="shared" si="3"/>
        <v>Unpaid</v>
      </c>
      <c r="Q19" t="str">
        <f t="shared" si="4"/>
        <v>None</v>
      </c>
    </row>
    <row r="20" spans="7:17">
      <c r="G20" s="8"/>
      <c r="H20" s="6"/>
      <c r="I20" s="6"/>
      <c r="J20" s="6">
        <f t="shared" si="0"/>
        <v>0</v>
      </c>
      <c r="K20" s="6"/>
      <c r="M20" s="8"/>
      <c r="N20" s="6">
        <f t="shared" si="1"/>
        <v>0</v>
      </c>
      <c r="O20">
        <f t="shared" ca="1" si="2"/>
        <v>0</v>
      </c>
      <c r="P20" t="str">
        <f t="shared" si="3"/>
        <v>Unpaid</v>
      </c>
      <c r="Q20" t="str">
        <f t="shared" si="4"/>
        <v>None</v>
      </c>
    </row>
    <row r="21" spans="7:17">
      <c r="G21" s="8"/>
      <c r="H21" s="6"/>
      <c r="I21" s="6"/>
      <c r="J21" s="6">
        <f t="shared" si="0"/>
        <v>0</v>
      </c>
      <c r="K21" s="6"/>
      <c r="M21" s="8"/>
      <c r="N21" s="6">
        <f t="shared" si="1"/>
        <v>0</v>
      </c>
      <c r="O21">
        <f t="shared" ca="1" si="2"/>
        <v>0</v>
      </c>
      <c r="P21" t="str">
        <f t="shared" si="3"/>
        <v>Unpaid</v>
      </c>
      <c r="Q21" t="str">
        <f t="shared" si="4"/>
        <v>None</v>
      </c>
    </row>
    <row r="22" spans="7:17">
      <c r="G22" s="8"/>
      <c r="H22" s="6"/>
      <c r="I22" s="6"/>
      <c r="J22" s="6">
        <f t="shared" si="0"/>
        <v>0</v>
      </c>
      <c r="K22" s="6"/>
      <c r="M22" s="8"/>
      <c r="N22" s="6">
        <f t="shared" si="1"/>
        <v>0</v>
      </c>
      <c r="O22">
        <f t="shared" ca="1" si="2"/>
        <v>0</v>
      </c>
      <c r="P22" t="str">
        <f t="shared" si="3"/>
        <v>Unpaid</v>
      </c>
      <c r="Q22" t="str">
        <f t="shared" si="4"/>
        <v>None</v>
      </c>
    </row>
    <row r="23" spans="7:17">
      <c r="G23" s="8"/>
      <c r="H23" s="6"/>
      <c r="I23" s="6"/>
      <c r="J23" s="6">
        <f t="shared" si="0"/>
        <v>0</v>
      </c>
      <c r="K23" s="6"/>
      <c r="M23" s="8"/>
      <c r="N23" s="6">
        <f t="shared" si="1"/>
        <v>0</v>
      </c>
      <c r="O23">
        <f t="shared" ca="1" si="2"/>
        <v>0</v>
      </c>
      <c r="P23" t="str">
        <f t="shared" si="3"/>
        <v>Unpaid</v>
      </c>
      <c r="Q23" t="str">
        <f t="shared" si="4"/>
        <v>None</v>
      </c>
    </row>
    <row r="24" spans="7:17">
      <c r="G24" s="8"/>
      <c r="H24" s="6"/>
      <c r="I24" s="6"/>
      <c r="J24" s="6">
        <f t="shared" si="0"/>
        <v>0</v>
      </c>
      <c r="K24" s="6"/>
      <c r="M24" s="8"/>
      <c r="N24" s="6">
        <f t="shared" si="1"/>
        <v>0</v>
      </c>
      <c r="O24">
        <f t="shared" ca="1" si="2"/>
        <v>0</v>
      </c>
      <c r="P24" t="str">
        <f t="shared" si="3"/>
        <v>Unpaid</v>
      </c>
      <c r="Q24" t="str">
        <f t="shared" si="4"/>
        <v>None</v>
      </c>
    </row>
    <row r="25" spans="7:17">
      <c r="G25" s="8"/>
      <c r="H25" s="6"/>
      <c r="I25" s="6"/>
      <c r="J25" s="6">
        <f t="shared" si="0"/>
        <v>0</v>
      </c>
      <c r="K25" s="6"/>
      <c r="M25" s="8"/>
      <c r="N25" s="6">
        <f t="shared" si="1"/>
        <v>0</v>
      </c>
      <c r="O25">
        <f t="shared" ca="1" si="2"/>
        <v>0</v>
      </c>
      <c r="P25" t="str">
        <f t="shared" si="3"/>
        <v>Unpaid</v>
      </c>
      <c r="Q25" t="str">
        <f t="shared" si="4"/>
        <v>None</v>
      </c>
    </row>
    <row r="26" spans="7:17">
      <c r="G26" s="8"/>
      <c r="H26" s="6"/>
      <c r="I26" s="6"/>
      <c r="J26" s="6">
        <f t="shared" si="0"/>
        <v>0</v>
      </c>
      <c r="K26" s="6"/>
      <c r="M26" s="8"/>
      <c r="N26" s="6">
        <f t="shared" si="1"/>
        <v>0</v>
      </c>
      <c r="O26">
        <f t="shared" ca="1" si="2"/>
        <v>0</v>
      </c>
      <c r="P26" t="str">
        <f t="shared" si="3"/>
        <v>Unpaid</v>
      </c>
      <c r="Q26" t="str">
        <f t="shared" si="4"/>
        <v>None</v>
      </c>
    </row>
    <row r="27" spans="7:17">
      <c r="G27" s="8"/>
      <c r="H27" s="6"/>
      <c r="I27" s="6"/>
      <c r="J27" s="6">
        <f t="shared" si="0"/>
        <v>0</v>
      </c>
      <c r="K27" s="6"/>
      <c r="M27" s="8"/>
      <c r="N27" s="6">
        <f t="shared" si="1"/>
        <v>0</v>
      </c>
      <c r="O27">
        <f t="shared" ca="1" si="2"/>
        <v>0</v>
      </c>
      <c r="P27" t="str">
        <f t="shared" si="3"/>
        <v>Unpaid</v>
      </c>
      <c r="Q27" t="str">
        <f t="shared" si="4"/>
        <v>None</v>
      </c>
    </row>
    <row r="28" spans="7:17">
      <c r="G28" s="8"/>
      <c r="H28" s="6"/>
      <c r="I28" s="6"/>
      <c r="J28" s="6">
        <f t="shared" si="0"/>
        <v>0</v>
      </c>
      <c r="K28" s="6"/>
      <c r="M28" s="8"/>
      <c r="N28" s="6">
        <f t="shared" si="1"/>
        <v>0</v>
      </c>
      <c r="O28">
        <f t="shared" ca="1" si="2"/>
        <v>0</v>
      </c>
      <c r="P28" t="str">
        <f t="shared" si="3"/>
        <v>Unpaid</v>
      </c>
      <c r="Q28" t="str">
        <f t="shared" si="4"/>
        <v>None</v>
      </c>
    </row>
    <row r="29" spans="7:17">
      <c r="G29" s="8"/>
      <c r="H29" s="6"/>
      <c r="I29" s="6"/>
      <c r="J29" s="6">
        <f t="shared" si="0"/>
        <v>0</v>
      </c>
      <c r="K29" s="6"/>
      <c r="M29" s="8"/>
      <c r="N29" s="6">
        <f t="shared" si="1"/>
        <v>0</v>
      </c>
      <c r="O29">
        <f t="shared" ca="1" si="2"/>
        <v>0</v>
      </c>
      <c r="P29" t="str">
        <f t="shared" si="3"/>
        <v>Unpaid</v>
      </c>
      <c r="Q29" t="str">
        <f t="shared" si="4"/>
        <v>None</v>
      </c>
    </row>
    <row r="30" spans="7:17">
      <c r="G30" s="8"/>
      <c r="H30" s="6"/>
      <c r="I30" s="6"/>
      <c r="J30" s="6">
        <f t="shared" si="0"/>
        <v>0</v>
      </c>
      <c r="K30" s="6"/>
      <c r="M30" s="8"/>
      <c r="N30" s="6">
        <f t="shared" si="1"/>
        <v>0</v>
      </c>
      <c r="O30">
        <f t="shared" ca="1" si="2"/>
        <v>0</v>
      </c>
      <c r="P30" t="str">
        <f t="shared" si="3"/>
        <v>Unpaid</v>
      </c>
      <c r="Q30" t="str">
        <f t="shared" si="4"/>
        <v>None</v>
      </c>
    </row>
    <row r="31" spans="7:17">
      <c r="G31" s="8"/>
      <c r="H31" s="6"/>
      <c r="I31" s="6"/>
      <c r="J31" s="6">
        <f t="shared" si="0"/>
        <v>0</v>
      </c>
      <c r="K31" s="6"/>
      <c r="M31" s="8"/>
      <c r="N31" s="6">
        <f t="shared" si="1"/>
        <v>0</v>
      </c>
      <c r="O31">
        <f t="shared" ca="1" si="2"/>
        <v>0</v>
      </c>
      <c r="P31" t="str">
        <f t="shared" si="3"/>
        <v>Unpaid</v>
      </c>
      <c r="Q31" t="str">
        <f t="shared" si="4"/>
        <v>None</v>
      </c>
    </row>
    <row r="32" spans="7:17">
      <c r="G32" s="8"/>
      <c r="H32" s="6"/>
      <c r="I32" s="6"/>
      <c r="J32" s="6">
        <f t="shared" si="0"/>
        <v>0</v>
      </c>
      <c r="K32" s="6"/>
      <c r="M32" s="8"/>
      <c r="N32" s="6">
        <f t="shared" si="1"/>
        <v>0</v>
      </c>
      <c r="O32">
        <f t="shared" ca="1" si="2"/>
        <v>0</v>
      </c>
      <c r="P32" t="str">
        <f t="shared" si="3"/>
        <v>Unpaid</v>
      </c>
      <c r="Q32" t="str">
        <f t="shared" si="4"/>
        <v>None</v>
      </c>
    </row>
    <row r="33" spans="7:17">
      <c r="G33" s="8"/>
      <c r="H33" s="6"/>
      <c r="I33" s="6"/>
      <c r="J33" s="6">
        <f t="shared" si="0"/>
        <v>0</v>
      </c>
      <c r="K33" s="6"/>
      <c r="M33" s="8"/>
      <c r="N33" s="6">
        <f t="shared" si="1"/>
        <v>0</v>
      </c>
      <c r="O33">
        <f t="shared" ca="1" si="2"/>
        <v>0</v>
      </c>
      <c r="P33" t="str">
        <f t="shared" si="3"/>
        <v>Unpaid</v>
      </c>
      <c r="Q33" t="str">
        <f t="shared" si="4"/>
        <v>None</v>
      </c>
    </row>
    <row r="34" spans="7:17">
      <c r="G34" s="8"/>
      <c r="H34" s="6"/>
      <c r="I34" s="6"/>
      <c r="J34" s="6">
        <f t="shared" ref="J34:J65" si="5">H34+I34</f>
        <v>0</v>
      </c>
      <c r="K34" s="6"/>
      <c r="M34" s="8"/>
      <c r="N34" s="6">
        <f t="shared" ref="N34:N65" si="6">MAX(0,J34-K34)</f>
        <v>0</v>
      </c>
      <c r="O34">
        <f t="shared" ref="O34:O65" ca="1" si="7">IF(N34=0,0,IF(M34="",MAX(0,TODAY()-DATEVALUE(G34)),MAX(0,DATEVALUE(M34)-DATEVALUE(G34))))</f>
        <v>0</v>
      </c>
      <c r="P34" t="str">
        <f t="shared" ref="P34:P65" si="8">IF(K34=0,"Unpaid",IF(K34&lt;J34,"Partial",IF(K34=J34,"Paid","Overpaid")))</f>
        <v>Unpaid</v>
      </c>
      <c r="Q34" t="str">
        <f t="shared" ref="Q34:Q65" si="9">IF(N34=0,"None",IF(O34&lt;=7,"1-7 Days Overdue",IF(O34&lt;=14,"8-14 Days Overdue",IF(O34&gt;=15,"15+ Days Overdue","Review"))))</f>
        <v>None</v>
      </c>
    </row>
    <row r="35" spans="7:17">
      <c r="G35" s="8"/>
      <c r="H35" s="6"/>
      <c r="I35" s="6"/>
      <c r="J35" s="6">
        <f t="shared" si="5"/>
        <v>0</v>
      </c>
      <c r="K35" s="6"/>
      <c r="M35" s="8"/>
      <c r="N35" s="6">
        <f t="shared" si="6"/>
        <v>0</v>
      </c>
      <c r="O35">
        <f t="shared" ca="1" si="7"/>
        <v>0</v>
      </c>
      <c r="P35" t="str">
        <f t="shared" si="8"/>
        <v>Unpaid</v>
      </c>
      <c r="Q35" t="str">
        <f t="shared" si="9"/>
        <v>None</v>
      </c>
    </row>
    <row r="36" spans="7:17">
      <c r="G36" s="8"/>
      <c r="H36" s="6"/>
      <c r="I36" s="6"/>
      <c r="J36" s="6">
        <f t="shared" si="5"/>
        <v>0</v>
      </c>
      <c r="K36" s="6"/>
      <c r="M36" s="8"/>
      <c r="N36" s="6">
        <f t="shared" si="6"/>
        <v>0</v>
      </c>
      <c r="O36">
        <f t="shared" ca="1" si="7"/>
        <v>0</v>
      </c>
      <c r="P36" t="str">
        <f t="shared" si="8"/>
        <v>Unpaid</v>
      </c>
      <c r="Q36" t="str">
        <f t="shared" si="9"/>
        <v>None</v>
      </c>
    </row>
    <row r="37" spans="7:17">
      <c r="G37" s="8"/>
      <c r="H37" s="6"/>
      <c r="I37" s="6"/>
      <c r="J37" s="6">
        <f t="shared" si="5"/>
        <v>0</v>
      </c>
      <c r="K37" s="6"/>
      <c r="M37" s="8"/>
      <c r="N37" s="6">
        <f t="shared" si="6"/>
        <v>0</v>
      </c>
      <c r="O37">
        <f t="shared" ca="1" si="7"/>
        <v>0</v>
      </c>
      <c r="P37" t="str">
        <f t="shared" si="8"/>
        <v>Unpaid</v>
      </c>
      <c r="Q37" t="str">
        <f t="shared" si="9"/>
        <v>None</v>
      </c>
    </row>
    <row r="38" spans="7:17">
      <c r="G38" s="8"/>
      <c r="H38" s="6"/>
      <c r="I38" s="6"/>
      <c r="J38" s="6">
        <f t="shared" si="5"/>
        <v>0</v>
      </c>
      <c r="K38" s="6"/>
      <c r="M38" s="8"/>
      <c r="N38" s="6">
        <f t="shared" si="6"/>
        <v>0</v>
      </c>
      <c r="O38">
        <f t="shared" ca="1" si="7"/>
        <v>0</v>
      </c>
      <c r="P38" t="str">
        <f t="shared" si="8"/>
        <v>Unpaid</v>
      </c>
      <c r="Q38" t="str">
        <f t="shared" si="9"/>
        <v>None</v>
      </c>
    </row>
    <row r="39" spans="7:17">
      <c r="G39" s="8"/>
      <c r="H39" s="6"/>
      <c r="I39" s="6"/>
      <c r="J39" s="6">
        <f t="shared" si="5"/>
        <v>0</v>
      </c>
      <c r="K39" s="6"/>
      <c r="M39" s="8"/>
      <c r="N39" s="6">
        <f t="shared" si="6"/>
        <v>0</v>
      </c>
      <c r="O39">
        <f t="shared" ca="1" si="7"/>
        <v>0</v>
      </c>
      <c r="P39" t="str">
        <f t="shared" si="8"/>
        <v>Unpaid</v>
      </c>
      <c r="Q39" t="str">
        <f t="shared" si="9"/>
        <v>None</v>
      </c>
    </row>
    <row r="40" spans="7:17">
      <c r="G40" s="8"/>
      <c r="H40" s="6"/>
      <c r="I40" s="6"/>
      <c r="J40" s="6">
        <f t="shared" si="5"/>
        <v>0</v>
      </c>
      <c r="K40" s="6"/>
      <c r="M40" s="8"/>
      <c r="N40" s="6">
        <f t="shared" si="6"/>
        <v>0</v>
      </c>
      <c r="O40">
        <f t="shared" ca="1" si="7"/>
        <v>0</v>
      </c>
      <c r="P40" t="str">
        <f t="shared" si="8"/>
        <v>Unpaid</v>
      </c>
      <c r="Q40" t="str">
        <f t="shared" si="9"/>
        <v>None</v>
      </c>
    </row>
    <row r="41" spans="7:17">
      <c r="G41" s="8"/>
      <c r="H41" s="6"/>
      <c r="I41" s="6"/>
      <c r="J41" s="6">
        <f t="shared" si="5"/>
        <v>0</v>
      </c>
      <c r="K41" s="6"/>
      <c r="M41" s="8"/>
      <c r="N41" s="6">
        <f t="shared" si="6"/>
        <v>0</v>
      </c>
      <c r="O41">
        <f t="shared" ca="1" si="7"/>
        <v>0</v>
      </c>
      <c r="P41" t="str">
        <f t="shared" si="8"/>
        <v>Unpaid</v>
      </c>
      <c r="Q41" t="str">
        <f t="shared" si="9"/>
        <v>None</v>
      </c>
    </row>
    <row r="42" spans="7:17">
      <c r="G42" s="8"/>
      <c r="H42" s="6"/>
      <c r="I42" s="6"/>
      <c r="J42" s="6">
        <f t="shared" si="5"/>
        <v>0</v>
      </c>
      <c r="K42" s="6"/>
      <c r="M42" s="8"/>
      <c r="N42" s="6">
        <f t="shared" si="6"/>
        <v>0</v>
      </c>
      <c r="O42">
        <f t="shared" ca="1" si="7"/>
        <v>0</v>
      </c>
      <c r="P42" t="str">
        <f t="shared" si="8"/>
        <v>Unpaid</v>
      </c>
      <c r="Q42" t="str">
        <f t="shared" si="9"/>
        <v>None</v>
      </c>
    </row>
    <row r="43" spans="7:17">
      <c r="G43" s="8"/>
      <c r="H43" s="6"/>
      <c r="I43" s="6"/>
      <c r="J43" s="6">
        <f t="shared" si="5"/>
        <v>0</v>
      </c>
      <c r="K43" s="6"/>
      <c r="M43" s="8"/>
      <c r="N43" s="6">
        <f t="shared" si="6"/>
        <v>0</v>
      </c>
      <c r="O43">
        <f t="shared" ca="1" si="7"/>
        <v>0</v>
      </c>
      <c r="P43" t="str">
        <f t="shared" si="8"/>
        <v>Unpaid</v>
      </c>
      <c r="Q43" t="str">
        <f t="shared" si="9"/>
        <v>None</v>
      </c>
    </row>
    <row r="44" spans="7:17">
      <c r="G44" s="8"/>
      <c r="H44" s="6"/>
      <c r="I44" s="6"/>
      <c r="J44" s="6">
        <f t="shared" si="5"/>
        <v>0</v>
      </c>
      <c r="K44" s="6"/>
      <c r="M44" s="8"/>
      <c r="N44" s="6">
        <f t="shared" si="6"/>
        <v>0</v>
      </c>
      <c r="O44">
        <f t="shared" ca="1" si="7"/>
        <v>0</v>
      </c>
      <c r="P44" t="str">
        <f t="shared" si="8"/>
        <v>Unpaid</v>
      </c>
      <c r="Q44" t="str">
        <f t="shared" si="9"/>
        <v>None</v>
      </c>
    </row>
    <row r="45" spans="7:17">
      <c r="G45" s="8"/>
      <c r="H45" s="6"/>
      <c r="I45" s="6"/>
      <c r="J45" s="6">
        <f t="shared" si="5"/>
        <v>0</v>
      </c>
      <c r="K45" s="6"/>
      <c r="M45" s="8"/>
      <c r="N45" s="6">
        <f t="shared" si="6"/>
        <v>0</v>
      </c>
      <c r="O45">
        <f t="shared" ca="1" si="7"/>
        <v>0</v>
      </c>
      <c r="P45" t="str">
        <f t="shared" si="8"/>
        <v>Unpaid</v>
      </c>
      <c r="Q45" t="str">
        <f t="shared" si="9"/>
        <v>None</v>
      </c>
    </row>
    <row r="46" spans="7:17">
      <c r="G46" s="8"/>
      <c r="H46" s="6"/>
      <c r="I46" s="6"/>
      <c r="J46" s="6">
        <f t="shared" si="5"/>
        <v>0</v>
      </c>
      <c r="K46" s="6"/>
      <c r="M46" s="8"/>
      <c r="N46" s="6">
        <f t="shared" si="6"/>
        <v>0</v>
      </c>
      <c r="O46">
        <f t="shared" ca="1" si="7"/>
        <v>0</v>
      </c>
      <c r="P46" t="str">
        <f t="shared" si="8"/>
        <v>Unpaid</v>
      </c>
      <c r="Q46" t="str">
        <f t="shared" si="9"/>
        <v>None</v>
      </c>
    </row>
    <row r="47" spans="7:17">
      <c r="G47" s="8"/>
      <c r="H47" s="6"/>
      <c r="I47" s="6"/>
      <c r="J47" s="6">
        <f t="shared" si="5"/>
        <v>0</v>
      </c>
      <c r="K47" s="6"/>
      <c r="M47" s="8"/>
      <c r="N47" s="6">
        <f t="shared" si="6"/>
        <v>0</v>
      </c>
      <c r="O47">
        <f t="shared" ca="1" si="7"/>
        <v>0</v>
      </c>
      <c r="P47" t="str">
        <f t="shared" si="8"/>
        <v>Unpaid</v>
      </c>
      <c r="Q47" t="str">
        <f t="shared" si="9"/>
        <v>None</v>
      </c>
    </row>
    <row r="48" spans="7:17">
      <c r="G48" s="8"/>
      <c r="H48" s="6"/>
      <c r="I48" s="6"/>
      <c r="J48" s="6">
        <f t="shared" si="5"/>
        <v>0</v>
      </c>
      <c r="K48" s="6"/>
      <c r="M48" s="8"/>
      <c r="N48" s="6">
        <f t="shared" si="6"/>
        <v>0</v>
      </c>
      <c r="O48">
        <f t="shared" ca="1" si="7"/>
        <v>0</v>
      </c>
      <c r="P48" t="str">
        <f t="shared" si="8"/>
        <v>Unpaid</v>
      </c>
      <c r="Q48" t="str">
        <f t="shared" si="9"/>
        <v>None</v>
      </c>
    </row>
    <row r="49" spans="7:17">
      <c r="G49" s="8"/>
      <c r="H49" s="6"/>
      <c r="I49" s="6"/>
      <c r="J49" s="6">
        <f t="shared" si="5"/>
        <v>0</v>
      </c>
      <c r="K49" s="6"/>
      <c r="M49" s="8"/>
      <c r="N49" s="6">
        <f t="shared" si="6"/>
        <v>0</v>
      </c>
      <c r="O49">
        <f t="shared" ca="1" si="7"/>
        <v>0</v>
      </c>
      <c r="P49" t="str">
        <f t="shared" si="8"/>
        <v>Unpaid</v>
      </c>
      <c r="Q49" t="str">
        <f t="shared" si="9"/>
        <v>None</v>
      </c>
    </row>
    <row r="50" spans="7:17">
      <c r="G50" s="8"/>
      <c r="H50" s="6"/>
      <c r="I50" s="6"/>
      <c r="J50" s="6">
        <f t="shared" si="5"/>
        <v>0</v>
      </c>
      <c r="K50" s="6"/>
      <c r="M50" s="8"/>
      <c r="N50" s="6">
        <f t="shared" si="6"/>
        <v>0</v>
      </c>
      <c r="O50">
        <f t="shared" ca="1" si="7"/>
        <v>0</v>
      </c>
      <c r="P50" t="str">
        <f t="shared" si="8"/>
        <v>Unpaid</v>
      </c>
      <c r="Q50" t="str">
        <f t="shared" si="9"/>
        <v>None</v>
      </c>
    </row>
    <row r="51" spans="7:17">
      <c r="G51" s="8"/>
      <c r="H51" s="6"/>
      <c r="I51" s="6"/>
      <c r="J51" s="6">
        <f t="shared" si="5"/>
        <v>0</v>
      </c>
      <c r="K51" s="6"/>
      <c r="M51" s="8"/>
      <c r="N51" s="6">
        <f t="shared" si="6"/>
        <v>0</v>
      </c>
      <c r="O51">
        <f t="shared" ca="1" si="7"/>
        <v>0</v>
      </c>
      <c r="P51" t="str">
        <f t="shared" si="8"/>
        <v>Unpaid</v>
      </c>
      <c r="Q51" t="str">
        <f t="shared" si="9"/>
        <v>None</v>
      </c>
    </row>
    <row r="52" spans="7:17">
      <c r="G52" s="8"/>
      <c r="H52" s="6"/>
      <c r="I52" s="6"/>
      <c r="J52" s="6">
        <f t="shared" si="5"/>
        <v>0</v>
      </c>
      <c r="K52" s="6"/>
      <c r="M52" s="8"/>
      <c r="N52" s="6">
        <f t="shared" si="6"/>
        <v>0</v>
      </c>
      <c r="O52">
        <f t="shared" ca="1" si="7"/>
        <v>0</v>
      </c>
      <c r="P52" t="str">
        <f t="shared" si="8"/>
        <v>Unpaid</v>
      </c>
      <c r="Q52" t="str">
        <f t="shared" si="9"/>
        <v>None</v>
      </c>
    </row>
    <row r="53" spans="7:17">
      <c r="G53" s="8"/>
      <c r="H53" s="6"/>
      <c r="I53" s="6"/>
      <c r="J53" s="6">
        <f t="shared" si="5"/>
        <v>0</v>
      </c>
      <c r="K53" s="6"/>
      <c r="M53" s="8"/>
      <c r="N53" s="6">
        <f t="shared" si="6"/>
        <v>0</v>
      </c>
      <c r="O53">
        <f t="shared" ca="1" si="7"/>
        <v>0</v>
      </c>
      <c r="P53" t="str">
        <f t="shared" si="8"/>
        <v>Unpaid</v>
      </c>
      <c r="Q53" t="str">
        <f t="shared" si="9"/>
        <v>None</v>
      </c>
    </row>
    <row r="54" spans="7:17">
      <c r="G54" s="8"/>
      <c r="H54" s="6"/>
      <c r="I54" s="6"/>
      <c r="J54" s="6">
        <f t="shared" si="5"/>
        <v>0</v>
      </c>
      <c r="K54" s="6"/>
      <c r="M54" s="8"/>
      <c r="N54" s="6">
        <f t="shared" si="6"/>
        <v>0</v>
      </c>
      <c r="O54">
        <f t="shared" ca="1" si="7"/>
        <v>0</v>
      </c>
      <c r="P54" t="str">
        <f t="shared" si="8"/>
        <v>Unpaid</v>
      </c>
      <c r="Q54" t="str">
        <f t="shared" si="9"/>
        <v>None</v>
      </c>
    </row>
    <row r="55" spans="7:17">
      <c r="G55" s="8"/>
      <c r="H55" s="6"/>
      <c r="I55" s="6"/>
      <c r="J55" s="6">
        <f t="shared" si="5"/>
        <v>0</v>
      </c>
      <c r="K55" s="6"/>
      <c r="M55" s="8"/>
      <c r="N55" s="6">
        <f t="shared" si="6"/>
        <v>0</v>
      </c>
      <c r="O55">
        <f t="shared" ca="1" si="7"/>
        <v>0</v>
      </c>
      <c r="P55" t="str">
        <f t="shared" si="8"/>
        <v>Unpaid</v>
      </c>
      <c r="Q55" t="str">
        <f t="shared" si="9"/>
        <v>None</v>
      </c>
    </row>
    <row r="56" spans="7:17">
      <c r="G56" s="8"/>
      <c r="H56" s="6"/>
      <c r="I56" s="6"/>
      <c r="J56" s="6">
        <f t="shared" si="5"/>
        <v>0</v>
      </c>
      <c r="K56" s="6"/>
      <c r="M56" s="8"/>
      <c r="N56" s="6">
        <f t="shared" si="6"/>
        <v>0</v>
      </c>
      <c r="O56">
        <f t="shared" ca="1" si="7"/>
        <v>0</v>
      </c>
      <c r="P56" t="str">
        <f t="shared" si="8"/>
        <v>Unpaid</v>
      </c>
      <c r="Q56" t="str">
        <f t="shared" si="9"/>
        <v>None</v>
      </c>
    </row>
    <row r="57" spans="7:17">
      <c r="G57" s="8"/>
      <c r="H57" s="6"/>
      <c r="I57" s="6"/>
      <c r="J57" s="6">
        <f t="shared" si="5"/>
        <v>0</v>
      </c>
      <c r="K57" s="6"/>
      <c r="M57" s="8"/>
      <c r="N57" s="6">
        <f t="shared" si="6"/>
        <v>0</v>
      </c>
      <c r="O57">
        <f t="shared" ca="1" si="7"/>
        <v>0</v>
      </c>
      <c r="P57" t="str">
        <f t="shared" si="8"/>
        <v>Unpaid</v>
      </c>
      <c r="Q57" t="str">
        <f t="shared" si="9"/>
        <v>None</v>
      </c>
    </row>
    <row r="58" spans="7:17">
      <c r="G58" s="8"/>
      <c r="H58" s="6"/>
      <c r="I58" s="6"/>
      <c r="J58" s="6">
        <f t="shared" si="5"/>
        <v>0</v>
      </c>
      <c r="K58" s="6"/>
      <c r="M58" s="8"/>
      <c r="N58" s="6">
        <f t="shared" si="6"/>
        <v>0</v>
      </c>
      <c r="O58">
        <f t="shared" ca="1" si="7"/>
        <v>0</v>
      </c>
      <c r="P58" t="str">
        <f t="shared" si="8"/>
        <v>Unpaid</v>
      </c>
      <c r="Q58" t="str">
        <f t="shared" si="9"/>
        <v>None</v>
      </c>
    </row>
    <row r="59" spans="7:17">
      <c r="G59" s="8"/>
      <c r="H59" s="6"/>
      <c r="I59" s="6"/>
      <c r="J59" s="6">
        <f t="shared" si="5"/>
        <v>0</v>
      </c>
      <c r="K59" s="6"/>
      <c r="M59" s="8"/>
      <c r="N59" s="6">
        <f t="shared" si="6"/>
        <v>0</v>
      </c>
      <c r="O59">
        <f t="shared" ca="1" si="7"/>
        <v>0</v>
      </c>
      <c r="P59" t="str">
        <f t="shared" si="8"/>
        <v>Unpaid</v>
      </c>
      <c r="Q59" t="str">
        <f t="shared" si="9"/>
        <v>None</v>
      </c>
    </row>
    <row r="60" spans="7:17">
      <c r="G60" s="8"/>
      <c r="H60" s="6"/>
      <c r="I60" s="6"/>
      <c r="J60" s="6">
        <f t="shared" si="5"/>
        <v>0</v>
      </c>
      <c r="K60" s="6"/>
      <c r="M60" s="8"/>
      <c r="N60" s="6">
        <f t="shared" si="6"/>
        <v>0</v>
      </c>
      <c r="O60">
        <f t="shared" ca="1" si="7"/>
        <v>0</v>
      </c>
      <c r="P60" t="str">
        <f t="shared" si="8"/>
        <v>Unpaid</v>
      </c>
      <c r="Q60" t="str">
        <f t="shared" si="9"/>
        <v>None</v>
      </c>
    </row>
    <row r="61" spans="7:17">
      <c r="G61" s="8"/>
      <c r="H61" s="6"/>
      <c r="I61" s="6"/>
      <c r="J61" s="6">
        <f t="shared" si="5"/>
        <v>0</v>
      </c>
      <c r="K61" s="6"/>
      <c r="M61" s="8"/>
      <c r="N61" s="6">
        <f t="shared" si="6"/>
        <v>0</v>
      </c>
      <c r="O61">
        <f t="shared" ca="1" si="7"/>
        <v>0</v>
      </c>
      <c r="P61" t="str">
        <f t="shared" si="8"/>
        <v>Unpaid</v>
      </c>
      <c r="Q61" t="str">
        <f t="shared" si="9"/>
        <v>None</v>
      </c>
    </row>
    <row r="62" spans="7:17">
      <c r="G62" s="8"/>
      <c r="H62" s="6"/>
      <c r="I62" s="6"/>
      <c r="J62" s="6">
        <f t="shared" si="5"/>
        <v>0</v>
      </c>
      <c r="K62" s="6"/>
      <c r="M62" s="8"/>
      <c r="N62" s="6">
        <f t="shared" si="6"/>
        <v>0</v>
      </c>
      <c r="O62">
        <f t="shared" ca="1" si="7"/>
        <v>0</v>
      </c>
      <c r="P62" t="str">
        <f t="shared" si="8"/>
        <v>Unpaid</v>
      </c>
      <c r="Q62" t="str">
        <f t="shared" si="9"/>
        <v>None</v>
      </c>
    </row>
    <row r="63" spans="7:17">
      <c r="G63" s="8"/>
      <c r="H63" s="6"/>
      <c r="I63" s="6"/>
      <c r="J63" s="6">
        <f t="shared" si="5"/>
        <v>0</v>
      </c>
      <c r="K63" s="6"/>
      <c r="M63" s="8"/>
      <c r="N63" s="6">
        <f t="shared" si="6"/>
        <v>0</v>
      </c>
      <c r="O63">
        <f t="shared" ca="1" si="7"/>
        <v>0</v>
      </c>
      <c r="P63" t="str">
        <f t="shared" si="8"/>
        <v>Unpaid</v>
      </c>
      <c r="Q63" t="str">
        <f t="shared" si="9"/>
        <v>None</v>
      </c>
    </row>
    <row r="64" spans="7:17">
      <c r="G64" s="8"/>
      <c r="H64" s="6"/>
      <c r="I64" s="6"/>
      <c r="J64" s="6">
        <f t="shared" si="5"/>
        <v>0</v>
      </c>
      <c r="K64" s="6"/>
      <c r="M64" s="8"/>
      <c r="N64" s="6">
        <f t="shared" si="6"/>
        <v>0</v>
      </c>
      <c r="O64">
        <f t="shared" ca="1" si="7"/>
        <v>0</v>
      </c>
      <c r="P64" t="str">
        <f t="shared" si="8"/>
        <v>Unpaid</v>
      </c>
      <c r="Q64" t="str">
        <f t="shared" si="9"/>
        <v>None</v>
      </c>
    </row>
    <row r="65" spans="7:17">
      <c r="G65" s="8"/>
      <c r="H65" s="6"/>
      <c r="I65" s="6"/>
      <c r="J65" s="6">
        <f t="shared" si="5"/>
        <v>0</v>
      </c>
      <c r="K65" s="6"/>
      <c r="M65" s="8"/>
      <c r="N65" s="6">
        <f t="shared" si="6"/>
        <v>0</v>
      </c>
      <c r="O65">
        <f t="shared" ca="1" si="7"/>
        <v>0</v>
      </c>
      <c r="P65" t="str">
        <f t="shared" si="8"/>
        <v>Unpaid</v>
      </c>
      <c r="Q65" t="str">
        <f t="shared" si="9"/>
        <v>None</v>
      </c>
    </row>
    <row r="66" spans="7:17">
      <c r="G66" s="8"/>
      <c r="H66" s="6"/>
      <c r="I66" s="6"/>
      <c r="J66" s="6">
        <f t="shared" ref="J66:J97" si="10">H66+I66</f>
        <v>0</v>
      </c>
      <c r="K66" s="6"/>
      <c r="M66" s="8"/>
      <c r="N66" s="6">
        <f t="shared" ref="N66:N97" si="11">MAX(0,J66-K66)</f>
        <v>0</v>
      </c>
      <c r="O66">
        <f t="shared" ref="O66:O97" ca="1" si="12">IF(N66=0,0,IF(M66="",MAX(0,TODAY()-DATEVALUE(G66)),MAX(0,DATEVALUE(M66)-DATEVALUE(G66))))</f>
        <v>0</v>
      </c>
      <c r="P66" t="str">
        <f t="shared" ref="P66:P97" si="13">IF(K66=0,"Unpaid",IF(K66&lt;J66,"Partial",IF(K66=J66,"Paid","Overpaid")))</f>
        <v>Unpaid</v>
      </c>
      <c r="Q66" t="str">
        <f t="shared" ref="Q66:Q97" si="14">IF(N66=0,"None",IF(O66&lt;=7,"1-7 Days Overdue",IF(O66&lt;=14,"8-14 Days Overdue",IF(O66&gt;=15,"15+ Days Overdue","Review"))))</f>
        <v>None</v>
      </c>
    </row>
    <row r="67" spans="7:17">
      <c r="G67" s="8"/>
      <c r="H67" s="6"/>
      <c r="I67" s="6"/>
      <c r="J67" s="6">
        <f t="shared" si="10"/>
        <v>0</v>
      </c>
      <c r="K67" s="6"/>
      <c r="M67" s="8"/>
      <c r="N67" s="6">
        <f t="shared" si="11"/>
        <v>0</v>
      </c>
      <c r="O67">
        <f t="shared" ca="1" si="12"/>
        <v>0</v>
      </c>
      <c r="P67" t="str">
        <f t="shared" si="13"/>
        <v>Unpaid</v>
      </c>
      <c r="Q67" t="str">
        <f t="shared" si="14"/>
        <v>None</v>
      </c>
    </row>
    <row r="68" spans="7:17">
      <c r="G68" s="8"/>
      <c r="H68" s="6"/>
      <c r="I68" s="6"/>
      <c r="J68" s="6">
        <f t="shared" si="10"/>
        <v>0</v>
      </c>
      <c r="K68" s="6"/>
      <c r="M68" s="8"/>
      <c r="N68" s="6">
        <f t="shared" si="11"/>
        <v>0</v>
      </c>
      <c r="O68">
        <f t="shared" ca="1" si="12"/>
        <v>0</v>
      </c>
      <c r="P68" t="str">
        <f t="shared" si="13"/>
        <v>Unpaid</v>
      </c>
      <c r="Q68" t="str">
        <f t="shared" si="14"/>
        <v>None</v>
      </c>
    </row>
    <row r="69" spans="7:17">
      <c r="G69" s="8"/>
      <c r="H69" s="6"/>
      <c r="I69" s="6"/>
      <c r="J69" s="6">
        <f t="shared" si="10"/>
        <v>0</v>
      </c>
      <c r="K69" s="6"/>
      <c r="M69" s="8"/>
      <c r="N69" s="6">
        <f t="shared" si="11"/>
        <v>0</v>
      </c>
      <c r="O69">
        <f t="shared" ca="1" si="12"/>
        <v>0</v>
      </c>
      <c r="P69" t="str">
        <f t="shared" si="13"/>
        <v>Unpaid</v>
      </c>
      <c r="Q69" t="str">
        <f t="shared" si="14"/>
        <v>None</v>
      </c>
    </row>
    <row r="70" spans="7:17">
      <c r="G70" s="8"/>
      <c r="H70" s="6"/>
      <c r="I70" s="6"/>
      <c r="J70" s="6">
        <f t="shared" si="10"/>
        <v>0</v>
      </c>
      <c r="K70" s="6"/>
      <c r="M70" s="8"/>
      <c r="N70" s="6">
        <f t="shared" si="11"/>
        <v>0</v>
      </c>
      <c r="O70">
        <f t="shared" ca="1" si="12"/>
        <v>0</v>
      </c>
      <c r="P70" t="str">
        <f t="shared" si="13"/>
        <v>Unpaid</v>
      </c>
      <c r="Q70" t="str">
        <f t="shared" si="14"/>
        <v>None</v>
      </c>
    </row>
    <row r="71" spans="7:17">
      <c r="G71" s="8"/>
      <c r="H71" s="6"/>
      <c r="I71" s="6"/>
      <c r="J71" s="6">
        <f t="shared" si="10"/>
        <v>0</v>
      </c>
      <c r="K71" s="6"/>
      <c r="M71" s="8"/>
      <c r="N71" s="6">
        <f t="shared" si="11"/>
        <v>0</v>
      </c>
      <c r="O71">
        <f t="shared" ca="1" si="12"/>
        <v>0</v>
      </c>
      <c r="P71" t="str">
        <f t="shared" si="13"/>
        <v>Unpaid</v>
      </c>
      <c r="Q71" t="str">
        <f t="shared" si="14"/>
        <v>None</v>
      </c>
    </row>
    <row r="72" spans="7:17">
      <c r="G72" s="8"/>
      <c r="H72" s="6"/>
      <c r="I72" s="6"/>
      <c r="J72" s="6">
        <f t="shared" si="10"/>
        <v>0</v>
      </c>
      <c r="K72" s="6"/>
      <c r="M72" s="8"/>
      <c r="N72" s="6">
        <f t="shared" si="11"/>
        <v>0</v>
      </c>
      <c r="O72">
        <f t="shared" ca="1" si="12"/>
        <v>0</v>
      </c>
      <c r="P72" t="str">
        <f t="shared" si="13"/>
        <v>Unpaid</v>
      </c>
      <c r="Q72" t="str">
        <f t="shared" si="14"/>
        <v>None</v>
      </c>
    </row>
    <row r="73" spans="7:17">
      <c r="G73" s="8"/>
      <c r="H73" s="6"/>
      <c r="I73" s="6"/>
      <c r="J73" s="6">
        <f t="shared" si="10"/>
        <v>0</v>
      </c>
      <c r="K73" s="6"/>
      <c r="M73" s="8"/>
      <c r="N73" s="6">
        <f t="shared" si="11"/>
        <v>0</v>
      </c>
      <c r="O73">
        <f t="shared" ca="1" si="12"/>
        <v>0</v>
      </c>
      <c r="P73" t="str">
        <f t="shared" si="13"/>
        <v>Unpaid</v>
      </c>
      <c r="Q73" t="str">
        <f t="shared" si="14"/>
        <v>None</v>
      </c>
    </row>
    <row r="74" spans="7:17">
      <c r="G74" s="8"/>
      <c r="H74" s="6"/>
      <c r="I74" s="6"/>
      <c r="J74" s="6">
        <f t="shared" si="10"/>
        <v>0</v>
      </c>
      <c r="K74" s="6"/>
      <c r="M74" s="8"/>
      <c r="N74" s="6">
        <f t="shared" si="11"/>
        <v>0</v>
      </c>
      <c r="O74">
        <f t="shared" ca="1" si="12"/>
        <v>0</v>
      </c>
      <c r="P74" t="str">
        <f t="shared" si="13"/>
        <v>Unpaid</v>
      </c>
      <c r="Q74" t="str">
        <f t="shared" si="14"/>
        <v>None</v>
      </c>
    </row>
    <row r="75" spans="7:17">
      <c r="G75" s="8"/>
      <c r="H75" s="6"/>
      <c r="I75" s="6"/>
      <c r="J75" s="6">
        <f t="shared" si="10"/>
        <v>0</v>
      </c>
      <c r="K75" s="6"/>
      <c r="M75" s="8"/>
      <c r="N75" s="6">
        <f t="shared" si="11"/>
        <v>0</v>
      </c>
      <c r="O75">
        <f t="shared" ca="1" si="12"/>
        <v>0</v>
      </c>
      <c r="P75" t="str">
        <f t="shared" si="13"/>
        <v>Unpaid</v>
      </c>
      <c r="Q75" t="str">
        <f t="shared" si="14"/>
        <v>None</v>
      </c>
    </row>
    <row r="76" spans="7:17">
      <c r="G76" s="8"/>
      <c r="H76" s="6"/>
      <c r="I76" s="6"/>
      <c r="J76" s="6">
        <f t="shared" si="10"/>
        <v>0</v>
      </c>
      <c r="K76" s="6"/>
      <c r="M76" s="8"/>
      <c r="N76" s="6">
        <f t="shared" si="11"/>
        <v>0</v>
      </c>
      <c r="O76">
        <f t="shared" ca="1" si="12"/>
        <v>0</v>
      </c>
      <c r="P76" t="str">
        <f t="shared" si="13"/>
        <v>Unpaid</v>
      </c>
      <c r="Q76" t="str">
        <f t="shared" si="14"/>
        <v>None</v>
      </c>
    </row>
    <row r="77" spans="7:17">
      <c r="G77" s="8"/>
      <c r="H77" s="6"/>
      <c r="I77" s="6"/>
      <c r="J77" s="6">
        <f t="shared" si="10"/>
        <v>0</v>
      </c>
      <c r="K77" s="6"/>
      <c r="M77" s="8"/>
      <c r="N77" s="6">
        <f t="shared" si="11"/>
        <v>0</v>
      </c>
      <c r="O77">
        <f t="shared" ca="1" si="12"/>
        <v>0</v>
      </c>
      <c r="P77" t="str">
        <f t="shared" si="13"/>
        <v>Unpaid</v>
      </c>
      <c r="Q77" t="str">
        <f t="shared" si="14"/>
        <v>None</v>
      </c>
    </row>
    <row r="78" spans="7:17">
      <c r="G78" s="8"/>
      <c r="H78" s="6"/>
      <c r="I78" s="6"/>
      <c r="J78" s="6">
        <f t="shared" si="10"/>
        <v>0</v>
      </c>
      <c r="K78" s="6"/>
      <c r="M78" s="8"/>
      <c r="N78" s="6">
        <f t="shared" si="11"/>
        <v>0</v>
      </c>
      <c r="O78">
        <f t="shared" ca="1" si="12"/>
        <v>0</v>
      </c>
      <c r="P78" t="str">
        <f t="shared" si="13"/>
        <v>Unpaid</v>
      </c>
      <c r="Q78" t="str">
        <f t="shared" si="14"/>
        <v>None</v>
      </c>
    </row>
    <row r="79" spans="7:17">
      <c r="G79" s="8"/>
      <c r="H79" s="6"/>
      <c r="I79" s="6"/>
      <c r="J79" s="6">
        <f t="shared" si="10"/>
        <v>0</v>
      </c>
      <c r="K79" s="6"/>
      <c r="M79" s="8"/>
      <c r="N79" s="6">
        <f t="shared" si="11"/>
        <v>0</v>
      </c>
      <c r="O79">
        <f t="shared" ca="1" si="12"/>
        <v>0</v>
      </c>
      <c r="P79" t="str">
        <f t="shared" si="13"/>
        <v>Unpaid</v>
      </c>
      <c r="Q79" t="str">
        <f t="shared" si="14"/>
        <v>None</v>
      </c>
    </row>
    <row r="80" spans="7:17">
      <c r="G80" s="8"/>
      <c r="H80" s="6"/>
      <c r="I80" s="6"/>
      <c r="J80" s="6">
        <f t="shared" si="10"/>
        <v>0</v>
      </c>
      <c r="K80" s="6"/>
      <c r="M80" s="8"/>
      <c r="N80" s="6">
        <f t="shared" si="11"/>
        <v>0</v>
      </c>
      <c r="O80">
        <f t="shared" ca="1" si="12"/>
        <v>0</v>
      </c>
      <c r="P80" t="str">
        <f t="shared" si="13"/>
        <v>Unpaid</v>
      </c>
      <c r="Q80" t="str">
        <f t="shared" si="14"/>
        <v>None</v>
      </c>
    </row>
    <row r="81" spans="7:17">
      <c r="G81" s="8"/>
      <c r="H81" s="6"/>
      <c r="I81" s="6"/>
      <c r="J81" s="6">
        <f t="shared" si="10"/>
        <v>0</v>
      </c>
      <c r="K81" s="6"/>
      <c r="M81" s="8"/>
      <c r="N81" s="6">
        <f t="shared" si="11"/>
        <v>0</v>
      </c>
      <c r="O81">
        <f t="shared" ca="1" si="12"/>
        <v>0</v>
      </c>
      <c r="P81" t="str">
        <f t="shared" si="13"/>
        <v>Unpaid</v>
      </c>
      <c r="Q81" t="str">
        <f t="shared" si="14"/>
        <v>None</v>
      </c>
    </row>
    <row r="82" spans="7:17">
      <c r="G82" s="8"/>
      <c r="H82" s="6"/>
      <c r="I82" s="6"/>
      <c r="J82" s="6">
        <f t="shared" si="10"/>
        <v>0</v>
      </c>
      <c r="K82" s="6"/>
      <c r="M82" s="8"/>
      <c r="N82" s="6">
        <f t="shared" si="11"/>
        <v>0</v>
      </c>
      <c r="O82">
        <f t="shared" ca="1" si="12"/>
        <v>0</v>
      </c>
      <c r="P82" t="str">
        <f t="shared" si="13"/>
        <v>Unpaid</v>
      </c>
      <c r="Q82" t="str">
        <f t="shared" si="14"/>
        <v>None</v>
      </c>
    </row>
    <row r="83" spans="7:17">
      <c r="G83" s="8"/>
      <c r="H83" s="6"/>
      <c r="I83" s="6"/>
      <c r="J83" s="6">
        <f t="shared" si="10"/>
        <v>0</v>
      </c>
      <c r="K83" s="6"/>
      <c r="M83" s="8"/>
      <c r="N83" s="6">
        <f t="shared" si="11"/>
        <v>0</v>
      </c>
      <c r="O83">
        <f t="shared" ca="1" si="12"/>
        <v>0</v>
      </c>
      <c r="P83" t="str">
        <f t="shared" si="13"/>
        <v>Unpaid</v>
      </c>
      <c r="Q83" t="str">
        <f t="shared" si="14"/>
        <v>None</v>
      </c>
    </row>
    <row r="84" spans="7:17">
      <c r="G84" s="8"/>
      <c r="H84" s="6"/>
      <c r="I84" s="6"/>
      <c r="J84" s="6">
        <f t="shared" si="10"/>
        <v>0</v>
      </c>
      <c r="K84" s="6"/>
      <c r="M84" s="8"/>
      <c r="N84" s="6">
        <f t="shared" si="11"/>
        <v>0</v>
      </c>
      <c r="O84">
        <f t="shared" ca="1" si="12"/>
        <v>0</v>
      </c>
      <c r="P84" t="str">
        <f t="shared" si="13"/>
        <v>Unpaid</v>
      </c>
      <c r="Q84" t="str">
        <f t="shared" si="14"/>
        <v>None</v>
      </c>
    </row>
    <row r="85" spans="7:17">
      <c r="G85" s="8"/>
      <c r="H85" s="6"/>
      <c r="I85" s="6"/>
      <c r="J85" s="6">
        <f t="shared" si="10"/>
        <v>0</v>
      </c>
      <c r="K85" s="6"/>
      <c r="M85" s="8"/>
      <c r="N85" s="6">
        <f t="shared" si="11"/>
        <v>0</v>
      </c>
      <c r="O85">
        <f t="shared" ca="1" si="12"/>
        <v>0</v>
      </c>
      <c r="P85" t="str">
        <f t="shared" si="13"/>
        <v>Unpaid</v>
      </c>
      <c r="Q85" t="str">
        <f t="shared" si="14"/>
        <v>None</v>
      </c>
    </row>
    <row r="86" spans="7:17">
      <c r="G86" s="8"/>
      <c r="H86" s="6"/>
      <c r="I86" s="6"/>
      <c r="J86" s="6">
        <f t="shared" si="10"/>
        <v>0</v>
      </c>
      <c r="K86" s="6"/>
      <c r="M86" s="8"/>
      <c r="N86" s="6">
        <f t="shared" si="11"/>
        <v>0</v>
      </c>
      <c r="O86">
        <f t="shared" ca="1" si="12"/>
        <v>0</v>
      </c>
      <c r="P86" t="str">
        <f t="shared" si="13"/>
        <v>Unpaid</v>
      </c>
      <c r="Q86" t="str">
        <f t="shared" si="14"/>
        <v>None</v>
      </c>
    </row>
    <row r="87" spans="7:17">
      <c r="G87" s="8"/>
      <c r="H87" s="6"/>
      <c r="I87" s="6"/>
      <c r="J87" s="6">
        <f t="shared" si="10"/>
        <v>0</v>
      </c>
      <c r="K87" s="6"/>
      <c r="M87" s="8"/>
      <c r="N87" s="6">
        <f t="shared" si="11"/>
        <v>0</v>
      </c>
      <c r="O87">
        <f t="shared" ca="1" si="12"/>
        <v>0</v>
      </c>
      <c r="P87" t="str">
        <f t="shared" si="13"/>
        <v>Unpaid</v>
      </c>
      <c r="Q87" t="str">
        <f t="shared" si="14"/>
        <v>None</v>
      </c>
    </row>
    <row r="88" spans="7:17">
      <c r="G88" s="8"/>
      <c r="H88" s="6"/>
      <c r="I88" s="6"/>
      <c r="J88" s="6">
        <f t="shared" si="10"/>
        <v>0</v>
      </c>
      <c r="K88" s="6"/>
      <c r="M88" s="8"/>
      <c r="N88" s="6">
        <f t="shared" si="11"/>
        <v>0</v>
      </c>
      <c r="O88">
        <f t="shared" ca="1" si="12"/>
        <v>0</v>
      </c>
      <c r="P88" t="str">
        <f t="shared" si="13"/>
        <v>Unpaid</v>
      </c>
      <c r="Q88" t="str">
        <f t="shared" si="14"/>
        <v>None</v>
      </c>
    </row>
    <row r="89" spans="7:17">
      <c r="G89" s="8"/>
      <c r="H89" s="6"/>
      <c r="I89" s="6"/>
      <c r="J89" s="6">
        <f t="shared" si="10"/>
        <v>0</v>
      </c>
      <c r="K89" s="6"/>
      <c r="M89" s="8"/>
      <c r="N89" s="6">
        <f t="shared" si="11"/>
        <v>0</v>
      </c>
      <c r="O89">
        <f t="shared" ca="1" si="12"/>
        <v>0</v>
      </c>
      <c r="P89" t="str">
        <f t="shared" si="13"/>
        <v>Unpaid</v>
      </c>
      <c r="Q89" t="str">
        <f t="shared" si="14"/>
        <v>None</v>
      </c>
    </row>
    <row r="90" spans="7:17">
      <c r="G90" s="8"/>
      <c r="H90" s="6"/>
      <c r="I90" s="6"/>
      <c r="J90" s="6">
        <f t="shared" si="10"/>
        <v>0</v>
      </c>
      <c r="K90" s="6"/>
      <c r="M90" s="8"/>
      <c r="N90" s="6">
        <f t="shared" si="11"/>
        <v>0</v>
      </c>
      <c r="O90">
        <f t="shared" ca="1" si="12"/>
        <v>0</v>
      </c>
      <c r="P90" t="str">
        <f t="shared" si="13"/>
        <v>Unpaid</v>
      </c>
      <c r="Q90" t="str">
        <f t="shared" si="14"/>
        <v>None</v>
      </c>
    </row>
    <row r="91" spans="7:17">
      <c r="G91" s="8"/>
      <c r="H91" s="6"/>
      <c r="I91" s="6"/>
      <c r="J91" s="6">
        <f t="shared" si="10"/>
        <v>0</v>
      </c>
      <c r="K91" s="6"/>
      <c r="M91" s="8"/>
      <c r="N91" s="6">
        <f t="shared" si="11"/>
        <v>0</v>
      </c>
      <c r="O91">
        <f t="shared" ca="1" si="12"/>
        <v>0</v>
      </c>
      <c r="P91" t="str">
        <f t="shared" si="13"/>
        <v>Unpaid</v>
      </c>
      <c r="Q91" t="str">
        <f t="shared" si="14"/>
        <v>None</v>
      </c>
    </row>
    <row r="92" spans="7:17">
      <c r="G92" s="8"/>
      <c r="H92" s="6"/>
      <c r="I92" s="6"/>
      <c r="J92" s="6">
        <f t="shared" si="10"/>
        <v>0</v>
      </c>
      <c r="K92" s="6"/>
      <c r="M92" s="8"/>
      <c r="N92" s="6">
        <f t="shared" si="11"/>
        <v>0</v>
      </c>
      <c r="O92">
        <f t="shared" ca="1" si="12"/>
        <v>0</v>
      </c>
      <c r="P92" t="str">
        <f t="shared" si="13"/>
        <v>Unpaid</v>
      </c>
      <c r="Q92" t="str">
        <f t="shared" si="14"/>
        <v>None</v>
      </c>
    </row>
    <row r="93" spans="7:17">
      <c r="G93" s="8"/>
      <c r="H93" s="6"/>
      <c r="I93" s="6"/>
      <c r="J93" s="6">
        <f t="shared" si="10"/>
        <v>0</v>
      </c>
      <c r="K93" s="6"/>
      <c r="M93" s="8"/>
      <c r="N93" s="6">
        <f t="shared" si="11"/>
        <v>0</v>
      </c>
      <c r="O93">
        <f t="shared" ca="1" si="12"/>
        <v>0</v>
      </c>
      <c r="P93" t="str">
        <f t="shared" si="13"/>
        <v>Unpaid</v>
      </c>
      <c r="Q93" t="str">
        <f t="shared" si="14"/>
        <v>None</v>
      </c>
    </row>
    <row r="94" spans="7:17">
      <c r="G94" s="8"/>
      <c r="H94" s="6"/>
      <c r="I94" s="6"/>
      <c r="J94" s="6">
        <f t="shared" si="10"/>
        <v>0</v>
      </c>
      <c r="K94" s="6"/>
      <c r="M94" s="8"/>
      <c r="N94" s="6">
        <f t="shared" si="11"/>
        <v>0</v>
      </c>
      <c r="O94">
        <f t="shared" ca="1" si="12"/>
        <v>0</v>
      </c>
      <c r="P94" t="str">
        <f t="shared" si="13"/>
        <v>Unpaid</v>
      </c>
      <c r="Q94" t="str">
        <f t="shared" si="14"/>
        <v>None</v>
      </c>
    </row>
    <row r="95" spans="7:17">
      <c r="G95" s="8"/>
      <c r="H95" s="6"/>
      <c r="I95" s="6"/>
      <c r="J95" s="6">
        <f t="shared" si="10"/>
        <v>0</v>
      </c>
      <c r="K95" s="6"/>
      <c r="M95" s="8"/>
      <c r="N95" s="6">
        <f t="shared" si="11"/>
        <v>0</v>
      </c>
      <c r="O95">
        <f t="shared" ca="1" si="12"/>
        <v>0</v>
      </c>
      <c r="P95" t="str">
        <f t="shared" si="13"/>
        <v>Unpaid</v>
      </c>
      <c r="Q95" t="str">
        <f t="shared" si="14"/>
        <v>None</v>
      </c>
    </row>
    <row r="96" spans="7:17">
      <c r="G96" s="8"/>
      <c r="H96" s="6"/>
      <c r="I96" s="6"/>
      <c r="J96" s="6">
        <f t="shared" si="10"/>
        <v>0</v>
      </c>
      <c r="K96" s="6"/>
      <c r="M96" s="8"/>
      <c r="N96" s="6">
        <f t="shared" si="11"/>
        <v>0</v>
      </c>
      <c r="O96">
        <f t="shared" ca="1" si="12"/>
        <v>0</v>
      </c>
      <c r="P96" t="str">
        <f t="shared" si="13"/>
        <v>Unpaid</v>
      </c>
      <c r="Q96" t="str">
        <f t="shared" si="14"/>
        <v>None</v>
      </c>
    </row>
    <row r="97" spans="7:17">
      <c r="G97" s="8"/>
      <c r="H97" s="6"/>
      <c r="I97" s="6"/>
      <c r="J97" s="6">
        <f t="shared" si="10"/>
        <v>0</v>
      </c>
      <c r="K97" s="6"/>
      <c r="M97" s="8"/>
      <c r="N97" s="6">
        <f t="shared" si="11"/>
        <v>0</v>
      </c>
      <c r="O97">
        <f t="shared" ca="1" si="12"/>
        <v>0</v>
      </c>
      <c r="P97" t="str">
        <f t="shared" si="13"/>
        <v>Unpaid</v>
      </c>
      <c r="Q97" t="str">
        <f t="shared" si="14"/>
        <v>None</v>
      </c>
    </row>
    <row r="98" spans="7:17">
      <c r="G98" s="8"/>
      <c r="H98" s="6"/>
      <c r="I98" s="6"/>
      <c r="J98" s="6">
        <f t="shared" ref="J98:J129" si="15">H98+I98</f>
        <v>0</v>
      </c>
      <c r="K98" s="6"/>
      <c r="M98" s="8"/>
      <c r="N98" s="6">
        <f t="shared" ref="N98:N129" si="16">MAX(0,J98-K98)</f>
        <v>0</v>
      </c>
      <c r="O98">
        <f t="shared" ref="O98:O129" ca="1" si="17">IF(N98=0,0,IF(M98="",MAX(0,TODAY()-DATEVALUE(G98)),MAX(0,DATEVALUE(M98)-DATEVALUE(G98))))</f>
        <v>0</v>
      </c>
      <c r="P98" t="str">
        <f t="shared" ref="P98:P129" si="18">IF(K98=0,"Unpaid",IF(K98&lt;J98,"Partial",IF(K98=J98,"Paid","Overpaid")))</f>
        <v>Unpaid</v>
      </c>
      <c r="Q98" t="str">
        <f t="shared" ref="Q98:Q129" si="19">IF(N98=0,"None",IF(O98&lt;=7,"1-7 Days Overdue",IF(O98&lt;=14,"8-14 Days Overdue",IF(O98&gt;=15,"15+ Days Overdue","Review"))))</f>
        <v>None</v>
      </c>
    </row>
    <row r="99" spans="7:17">
      <c r="G99" s="8"/>
      <c r="H99" s="6"/>
      <c r="I99" s="6"/>
      <c r="J99" s="6">
        <f t="shared" si="15"/>
        <v>0</v>
      </c>
      <c r="K99" s="6"/>
      <c r="M99" s="8"/>
      <c r="N99" s="6">
        <f t="shared" si="16"/>
        <v>0</v>
      </c>
      <c r="O99">
        <f t="shared" ca="1" si="17"/>
        <v>0</v>
      </c>
      <c r="P99" t="str">
        <f t="shared" si="18"/>
        <v>Unpaid</v>
      </c>
      <c r="Q99" t="str">
        <f t="shared" si="19"/>
        <v>None</v>
      </c>
    </row>
    <row r="100" spans="7:17">
      <c r="G100" s="8"/>
      <c r="H100" s="6"/>
      <c r="I100" s="6"/>
      <c r="J100" s="6">
        <f t="shared" si="15"/>
        <v>0</v>
      </c>
      <c r="K100" s="6"/>
      <c r="M100" s="8"/>
      <c r="N100" s="6">
        <f t="shared" si="16"/>
        <v>0</v>
      </c>
      <c r="O100">
        <f t="shared" ca="1" si="17"/>
        <v>0</v>
      </c>
      <c r="P100" t="str">
        <f t="shared" si="18"/>
        <v>Unpaid</v>
      </c>
      <c r="Q100" t="str">
        <f t="shared" si="19"/>
        <v>None</v>
      </c>
    </row>
    <row r="101" spans="7:17">
      <c r="G101" s="8"/>
      <c r="H101" s="6"/>
      <c r="I101" s="6"/>
      <c r="J101" s="6">
        <f t="shared" si="15"/>
        <v>0</v>
      </c>
      <c r="K101" s="6"/>
      <c r="M101" s="8"/>
      <c r="N101" s="6">
        <f t="shared" si="16"/>
        <v>0</v>
      </c>
      <c r="O101">
        <f t="shared" ca="1" si="17"/>
        <v>0</v>
      </c>
      <c r="P101" t="str">
        <f t="shared" si="18"/>
        <v>Unpaid</v>
      </c>
      <c r="Q101" t="str">
        <f t="shared" si="19"/>
        <v>None</v>
      </c>
    </row>
    <row r="102" spans="7:17">
      <c r="G102" s="8"/>
      <c r="H102" s="6"/>
      <c r="I102" s="6"/>
      <c r="J102" s="6">
        <f t="shared" si="15"/>
        <v>0</v>
      </c>
      <c r="K102" s="6"/>
      <c r="M102" s="8"/>
      <c r="N102" s="6">
        <f t="shared" si="16"/>
        <v>0</v>
      </c>
      <c r="O102">
        <f t="shared" ca="1" si="17"/>
        <v>0</v>
      </c>
      <c r="P102" t="str">
        <f t="shared" si="18"/>
        <v>Unpaid</v>
      </c>
      <c r="Q102" t="str">
        <f t="shared" si="19"/>
        <v>None</v>
      </c>
    </row>
    <row r="103" spans="7:17">
      <c r="G103" s="8"/>
      <c r="H103" s="6"/>
      <c r="I103" s="6"/>
      <c r="J103" s="6">
        <f t="shared" si="15"/>
        <v>0</v>
      </c>
      <c r="K103" s="6"/>
      <c r="M103" s="8"/>
      <c r="N103" s="6">
        <f t="shared" si="16"/>
        <v>0</v>
      </c>
      <c r="O103">
        <f t="shared" ca="1" si="17"/>
        <v>0</v>
      </c>
      <c r="P103" t="str">
        <f t="shared" si="18"/>
        <v>Unpaid</v>
      </c>
      <c r="Q103" t="str">
        <f t="shared" si="19"/>
        <v>None</v>
      </c>
    </row>
    <row r="104" spans="7:17">
      <c r="G104" s="8"/>
      <c r="H104" s="6"/>
      <c r="I104" s="6"/>
      <c r="J104" s="6">
        <f t="shared" si="15"/>
        <v>0</v>
      </c>
      <c r="K104" s="6"/>
      <c r="M104" s="8"/>
      <c r="N104" s="6">
        <f t="shared" si="16"/>
        <v>0</v>
      </c>
      <c r="O104">
        <f t="shared" ca="1" si="17"/>
        <v>0</v>
      </c>
      <c r="P104" t="str">
        <f t="shared" si="18"/>
        <v>Unpaid</v>
      </c>
      <c r="Q104" t="str">
        <f t="shared" si="19"/>
        <v>None</v>
      </c>
    </row>
    <row r="105" spans="7:17">
      <c r="G105" s="8"/>
      <c r="H105" s="6"/>
      <c r="I105" s="6"/>
      <c r="J105" s="6">
        <f t="shared" si="15"/>
        <v>0</v>
      </c>
      <c r="K105" s="6"/>
      <c r="M105" s="8"/>
      <c r="N105" s="6">
        <f t="shared" si="16"/>
        <v>0</v>
      </c>
      <c r="O105">
        <f t="shared" ca="1" si="17"/>
        <v>0</v>
      </c>
      <c r="P105" t="str">
        <f t="shared" si="18"/>
        <v>Unpaid</v>
      </c>
      <c r="Q105" t="str">
        <f t="shared" si="19"/>
        <v>None</v>
      </c>
    </row>
    <row r="106" spans="7:17">
      <c r="G106" s="8"/>
      <c r="H106" s="6"/>
      <c r="I106" s="6"/>
      <c r="J106" s="6">
        <f t="shared" si="15"/>
        <v>0</v>
      </c>
      <c r="K106" s="6"/>
      <c r="M106" s="8"/>
      <c r="N106" s="6">
        <f t="shared" si="16"/>
        <v>0</v>
      </c>
      <c r="O106">
        <f t="shared" ca="1" si="17"/>
        <v>0</v>
      </c>
      <c r="P106" t="str">
        <f t="shared" si="18"/>
        <v>Unpaid</v>
      </c>
      <c r="Q106" t="str">
        <f t="shared" si="19"/>
        <v>None</v>
      </c>
    </row>
    <row r="107" spans="7:17">
      <c r="G107" s="8"/>
      <c r="H107" s="6"/>
      <c r="I107" s="6"/>
      <c r="J107" s="6">
        <f t="shared" si="15"/>
        <v>0</v>
      </c>
      <c r="K107" s="6"/>
      <c r="M107" s="8"/>
      <c r="N107" s="6">
        <f t="shared" si="16"/>
        <v>0</v>
      </c>
      <c r="O107">
        <f t="shared" ca="1" si="17"/>
        <v>0</v>
      </c>
      <c r="P107" t="str">
        <f t="shared" si="18"/>
        <v>Unpaid</v>
      </c>
      <c r="Q107" t="str">
        <f t="shared" si="19"/>
        <v>None</v>
      </c>
    </row>
    <row r="108" spans="7:17">
      <c r="G108" s="8"/>
      <c r="H108" s="6"/>
      <c r="I108" s="6"/>
      <c r="J108" s="6">
        <f t="shared" si="15"/>
        <v>0</v>
      </c>
      <c r="K108" s="6"/>
      <c r="M108" s="8"/>
      <c r="N108" s="6">
        <f t="shared" si="16"/>
        <v>0</v>
      </c>
      <c r="O108">
        <f t="shared" ca="1" si="17"/>
        <v>0</v>
      </c>
      <c r="P108" t="str">
        <f t="shared" si="18"/>
        <v>Unpaid</v>
      </c>
      <c r="Q108" t="str">
        <f t="shared" si="19"/>
        <v>None</v>
      </c>
    </row>
    <row r="109" spans="7:17">
      <c r="G109" s="8"/>
      <c r="H109" s="6"/>
      <c r="I109" s="6"/>
      <c r="J109" s="6">
        <f t="shared" si="15"/>
        <v>0</v>
      </c>
      <c r="K109" s="6"/>
      <c r="M109" s="8"/>
      <c r="N109" s="6">
        <f t="shared" si="16"/>
        <v>0</v>
      </c>
      <c r="O109">
        <f t="shared" ca="1" si="17"/>
        <v>0</v>
      </c>
      <c r="P109" t="str">
        <f t="shared" si="18"/>
        <v>Unpaid</v>
      </c>
      <c r="Q109" t="str">
        <f t="shared" si="19"/>
        <v>None</v>
      </c>
    </row>
    <row r="110" spans="7:17">
      <c r="G110" s="8"/>
      <c r="H110" s="6"/>
      <c r="I110" s="6"/>
      <c r="J110" s="6">
        <f t="shared" si="15"/>
        <v>0</v>
      </c>
      <c r="K110" s="6"/>
      <c r="M110" s="8"/>
      <c r="N110" s="6">
        <f t="shared" si="16"/>
        <v>0</v>
      </c>
      <c r="O110">
        <f t="shared" ca="1" si="17"/>
        <v>0</v>
      </c>
      <c r="P110" t="str">
        <f t="shared" si="18"/>
        <v>Unpaid</v>
      </c>
      <c r="Q110" t="str">
        <f t="shared" si="19"/>
        <v>None</v>
      </c>
    </row>
    <row r="111" spans="7:17">
      <c r="G111" s="8"/>
      <c r="H111" s="6"/>
      <c r="I111" s="6"/>
      <c r="J111" s="6">
        <f t="shared" si="15"/>
        <v>0</v>
      </c>
      <c r="K111" s="6"/>
      <c r="M111" s="8"/>
      <c r="N111" s="6">
        <f t="shared" si="16"/>
        <v>0</v>
      </c>
      <c r="O111">
        <f t="shared" ca="1" si="17"/>
        <v>0</v>
      </c>
      <c r="P111" t="str">
        <f t="shared" si="18"/>
        <v>Unpaid</v>
      </c>
      <c r="Q111" t="str">
        <f t="shared" si="19"/>
        <v>None</v>
      </c>
    </row>
    <row r="112" spans="7:17">
      <c r="G112" s="8"/>
      <c r="H112" s="6"/>
      <c r="I112" s="6"/>
      <c r="J112" s="6">
        <f t="shared" si="15"/>
        <v>0</v>
      </c>
      <c r="K112" s="6"/>
      <c r="M112" s="8"/>
      <c r="N112" s="6">
        <f t="shared" si="16"/>
        <v>0</v>
      </c>
      <c r="O112">
        <f t="shared" ca="1" si="17"/>
        <v>0</v>
      </c>
      <c r="P112" t="str">
        <f t="shared" si="18"/>
        <v>Unpaid</v>
      </c>
      <c r="Q112" t="str">
        <f t="shared" si="19"/>
        <v>None</v>
      </c>
    </row>
    <row r="113" spans="7:17">
      <c r="G113" s="8"/>
      <c r="H113" s="6"/>
      <c r="I113" s="6"/>
      <c r="J113" s="6">
        <f t="shared" si="15"/>
        <v>0</v>
      </c>
      <c r="K113" s="6"/>
      <c r="M113" s="8"/>
      <c r="N113" s="6">
        <f t="shared" si="16"/>
        <v>0</v>
      </c>
      <c r="O113">
        <f t="shared" ca="1" si="17"/>
        <v>0</v>
      </c>
      <c r="P113" t="str">
        <f t="shared" si="18"/>
        <v>Unpaid</v>
      </c>
      <c r="Q113" t="str">
        <f t="shared" si="19"/>
        <v>None</v>
      </c>
    </row>
    <row r="114" spans="7:17">
      <c r="G114" s="8"/>
      <c r="H114" s="6"/>
      <c r="I114" s="6"/>
      <c r="J114" s="6">
        <f t="shared" si="15"/>
        <v>0</v>
      </c>
      <c r="K114" s="6"/>
      <c r="M114" s="8"/>
      <c r="N114" s="6">
        <f t="shared" si="16"/>
        <v>0</v>
      </c>
      <c r="O114">
        <f t="shared" ca="1" si="17"/>
        <v>0</v>
      </c>
      <c r="P114" t="str">
        <f t="shared" si="18"/>
        <v>Unpaid</v>
      </c>
      <c r="Q114" t="str">
        <f t="shared" si="19"/>
        <v>None</v>
      </c>
    </row>
    <row r="115" spans="7:17">
      <c r="G115" s="8"/>
      <c r="H115" s="6"/>
      <c r="I115" s="6"/>
      <c r="J115" s="6">
        <f t="shared" si="15"/>
        <v>0</v>
      </c>
      <c r="K115" s="6"/>
      <c r="M115" s="8"/>
      <c r="N115" s="6">
        <f t="shared" si="16"/>
        <v>0</v>
      </c>
      <c r="O115">
        <f t="shared" ca="1" si="17"/>
        <v>0</v>
      </c>
      <c r="P115" t="str">
        <f t="shared" si="18"/>
        <v>Unpaid</v>
      </c>
      <c r="Q115" t="str">
        <f t="shared" si="19"/>
        <v>None</v>
      </c>
    </row>
    <row r="116" spans="7:17">
      <c r="G116" s="8"/>
      <c r="H116" s="6"/>
      <c r="I116" s="6"/>
      <c r="J116" s="6">
        <f t="shared" si="15"/>
        <v>0</v>
      </c>
      <c r="K116" s="6"/>
      <c r="M116" s="8"/>
      <c r="N116" s="6">
        <f t="shared" si="16"/>
        <v>0</v>
      </c>
      <c r="O116">
        <f t="shared" ca="1" si="17"/>
        <v>0</v>
      </c>
      <c r="P116" t="str">
        <f t="shared" si="18"/>
        <v>Unpaid</v>
      </c>
      <c r="Q116" t="str">
        <f t="shared" si="19"/>
        <v>None</v>
      </c>
    </row>
    <row r="117" spans="7:17">
      <c r="G117" s="8"/>
      <c r="H117" s="6"/>
      <c r="I117" s="6"/>
      <c r="J117" s="6">
        <f t="shared" si="15"/>
        <v>0</v>
      </c>
      <c r="K117" s="6"/>
      <c r="M117" s="8"/>
      <c r="N117" s="6">
        <f t="shared" si="16"/>
        <v>0</v>
      </c>
      <c r="O117">
        <f t="shared" ca="1" si="17"/>
        <v>0</v>
      </c>
      <c r="P117" t="str">
        <f t="shared" si="18"/>
        <v>Unpaid</v>
      </c>
      <c r="Q117" t="str">
        <f t="shared" si="19"/>
        <v>None</v>
      </c>
    </row>
    <row r="118" spans="7:17">
      <c r="G118" s="8"/>
      <c r="H118" s="6"/>
      <c r="I118" s="6"/>
      <c r="J118" s="6">
        <f t="shared" si="15"/>
        <v>0</v>
      </c>
      <c r="K118" s="6"/>
      <c r="M118" s="8"/>
      <c r="N118" s="6">
        <f t="shared" si="16"/>
        <v>0</v>
      </c>
      <c r="O118">
        <f t="shared" ca="1" si="17"/>
        <v>0</v>
      </c>
      <c r="P118" t="str">
        <f t="shared" si="18"/>
        <v>Unpaid</v>
      </c>
      <c r="Q118" t="str">
        <f t="shared" si="19"/>
        <v>None</v>
      </c>
    </row>
    <row r="119" spans="7:17">
      <c r="G119" s="8"/>
      <c r="H119" s="6"/>
      <c r="I119" s="6"/>
      <c r="J119" s="6">
        <f t="shared" si="15"/>
        <v>0</v>
      </c>
      <c r="K119" s="6"/>
      <c r="M119" s="8"/>
      <c r="N119" s="6">
        <f t="shared" si="16"/>
        <v>0</v>
      </c>
      <c r="O119">
        <f t="shared" ca="1" si="17"/>
        <v>0</v>
      </c>
      <c r="P119" t="str">
        <f t="shared" si="18"/>
        <v>Unpaid</v>
      </c>
      <c r="Q119" t="str">
        <f t="shared" si="19"/>
        <v>None</v>
      </c>
    </row>
    <row r="120" spans="7:17">
      <c r="G120" s="8"/>
      <c r="H120" s="6"/>
      <c r="I120" s="6"/>
      <c r="J120" s="6">
        <f t="shared" si="15"/>
        <v>0</v>
      </c>
      <c r="K120" s="6"/>
      <c r="M120" s="8"/>
      <c r="N120" s="6">
        <f t="shared" si="16"/>
        <v>0</v>
      </c>
      <c r="O120">
        <f t="shared" ca="1" si="17"/>
        <v>0</v>
      </c>
      <c r="P120" t="str">
        <f t="shared" si="18"/>
        <v>Unpaid</v>
      </c>
      <c r="Q120" t="str">
        <f t="shared" si="19"/>
        <v>None</v>
      </c>
    </row>
    <row r="121" spans="7:17">
      <c r="G121" s="8"/>
      <c r="H121" s="6"/>
      <c r="I121" s="6"/>
      <c r="J121" s="6">
        <f t="shared" si="15"/>
        <v>0</v>
      </c>
      <c r="K121" s="6"/>
      <c r="M121" s="8"/>
      <c r="N121" s="6">
        <f t="shared" si="16"/>
        <v>0</v>
      </c>
      <c r="O121">
        <f t="shared" ca="1" si="17"/>
        <v>0</v>
      </c>
      <c r="P121" t="str">
        <f t="shared" si="18"/>
        <v>Unpaid</v>
      </c>
      <c r="Q121" t="str">
        <f t="shared" si="19"/>
        <v>None</v>
      </c>
    </row>
    <row r="122" spans="7:17">
      <c r="G122" s="8"/>
      <c r="H122" s="6"/>
      <c r="I122" s="6"/>
      <c r="J122" s="6">
        <f t="shared" si="15"/>
        <v>0</v>
      </c>
      <c r="K122" s="6"/>
      <c r="M122" s="8"/>
      <c r="N122" s="6">
        <f t="shared" si="16"/>
        <v>0</v>
      </c>
      <c r="O122">
        <f t="shared" ca="1" si="17"/>
        <v>0</v>
      </c>
      <c r="P122" t="str">
        <f t="shared" si="18"/>
        <v>Unpaid</v>
      </c>
      <c r="Q122" t="str">
        <f t="shared" si="19"/>
        <v>None</v>
      </c>
    </row>
    <row r="123" spans="7:17">
      <c r="G123" s="8"/>
      <c r="H123" s="6"/>
      <c r="I123" s="6"/>
      <c r="J123" s="6">
        <f t="shared" si="15"/>
        <v>0</v>
      </c>
      <c r="K123" s="6"/>
      <c r="M123" s="8"/>
      <c r="N123" s="6">
        <f t="shared" si="16"/>
        <v>0</v>
      </c>
      <c r="O123">
        <f t="shared" ca="1" si="17"/>
        <v>0</v>
      </c>
      <c r="P123" t="str">
        <f t="shared" si="18"/>
        <v>Unpaid</v>
      </c>
      <c r="Q123" t="str">
        <f t="shared" si="19"/>
        <v>None</v>
      </c>
    </row>
    <row r="124" spans="7:17">
      <c r="G124" s="8"/>
      <c r="H124" s="6"/>
      <c r="I124" s="6"/>
      <c r="J124" s="6">
        <f t="shared" si="15"/>
        <v>0</v>
      </c>
      <c r="K124" s="6"/>
      <c r="M124" s="8"/>
      <c r="N124" s="6">
        <f t="shared" si="16"/>
        <v>0</v>
      </c>
      <c r="O124">
        <f t="shared" ca="1" si="17"/>
        <v>0</v>
      </c>
      <c r="P124" t="str">
        <f t="shared" si="18"/>
        <v>Unpaid</v>
      </c>
      <c r="Q124" t="str">
        <f t="shared" si="19"/>
        <v>None</v>
      </c>
    </row>
    <row r="125" spans="7:17">
      <c r="G125" s="8"/>
      <c r="H125" s="6"/>
      <c r="I125" s="6"/>
      <c r="J125" s="6">
        <f t="shared" si="15"/>
        <v>0</v>
      </c>
      <c r="K125" s="6"/>
      <c r="M125" s="8"/>
      <c r="N125" s="6">
        <f t="shared" si="16"/>
        <v>0</v>
      </c>
      <c r="O125">
        <f t="shared" ca="1" si="17"/>
        <v>0</v>
      </c>
      <c r="P125" t="str">
        <f t="shared" si="18"/>
        <v>Unpaid</v>
      </c>
      <c r="Q125" t="str">
        <f t="shared" si="19"/>
        <v>None</v>
      </c>
    </row>
    <row r="126" spans="7:17">
      <c r="G126" s="8"/>
      <c r="H126" s="6"/>
      <c r="I126" s="6"/>
      <c r="J126" s="6">
        <f t="shared" si="15"/>
        <v>0</v>
      </c>
      <c r="K126" s="6"/>
      <c r="M126" s="8"/>
      <c r="N126" s="6">
        <f t="shared" si="16"/>
        <v>0</v>
      </c>
      <c r="O126">
        <f t="shared" ca="1" si="17"/>
        <v>0</v>
      </c>
      <c r="P126" t="str">
        <f t="shared" si="18"/>
        <v>Unpaid</v>
      </c>
      <c r="Q126" t="str">
        <f t="shared" si="19"/>
        <v>None</v>
      </c>
    </row>
    <row r="127" spans="7:17">
      <c r="G127" s="8"/>
      <c r="H127" s="6"/>
      <c r="I127" s="6"/>
      <c r="J127" s="6">
        <f t="shared" si="15"/>
        <v>0</v>
      </c>
      <c r="K127" s="6"/>
      <c r="M127" s="8"/>
      <c r="N127" s="6">
        <f t="shared" si="16"/>
        <v>0</v>
      </c>
      <c r="O127">
        <f t="shared" ca="1" si="17"/>
        <v>0</v>
      </c>
      <c r="P127" t="str">
        <f t="shared" si="18"/>
        <v>Unpaid</v>
      </c>
      <c r="Q127" t="str">
        <f t="shared" si="19"/>
        <v>None</v>
      </c>
    </row>
    <row r="128" spans="7:17">
      <c r="G128" s="8"/>
      <c r="H128" s="6"/>
      <c r="I128" s="6"/>
      <c r="J128" s="6">
        <f t="shared" si="15"/>
        <v>0</v>
      </c>
      <c r="K128" s="6"/>
      <c r="M128" s="8"/>
      <c r="N128" s="6">
        <f t="shared" si="16"/>
        <v>0</v>
      </c>
      <c r="O128">
        <f t="shared" ca="1" si="17"/>
        <v>0</v>
      </c>
      <c r="P128" t="str">
        <f t="shared" si="18"/>
        <v>Unpaid</v>
      </c>
      <c r="Q128" t="str">
        <f t="shared" si="19"/>
        <v>None</v>
      </c>
    </row>
    <row r="129" spans="7:17">
      <c r="G129" s="8"/>
      <c r="H129" s="6"/>
      <c r="I129" s="6"/>
      <c r="J129" s="6">
        <f t="shared" si="15"/>
        <v>0</v>
      </c>
      <c r="K129" s="6"/>
      <c r="M129" s="8"/>
      <c r="N129" s="6">
        <f t="shared" si="16"/>
        <v>0</v>
      </c>
      <c r="O129">
        <f t="shared" ca="1" si="17"/>
        <v>0</v>
      </c>
      <c r="P129" t="str">
        <f t="shared" si="18"/>
        <v>Unpaid</v>
      </c>
      <c r="Q129" t="str">
        <f t="shared" si="19"/>
        <v>None</v>
      </c>
    </row>
    <row r="130" spans="7:17">
      <c r="G130" s="8"/>
      <c r="H130" s="6"/>
      <c r="I130" s="6"/>
      <c r="J130" s="6">
        <f t="shared" ref="J130:J161" si="20">H130+I130</f>
        <v>0</v>
      </c>
      <c r="K130" s="6"/>
      <c r="M130" s="8"/>
      <c r="N130" s="6">
        <f t="shared" ref="N130:N161" si="21">MAX(0,J130-K130)</f>
        <v>0</v>
      </c>
      <c r="O130">
        <f t="shared" ref="O130:O161" ca="1" si="22">IF(N130=0,0,IF(M130="",MAX(0,TODAY()-DATEVALUE(G130)),MAX(0,DATEVALUE(M130)-DATEVALUE(G130))))</f>
        <v>0</v>
      </c>
      <c r="P130" t="str">
        <f t="shared" ref="P130:P161" si="23">IF(K130=0,"Unpaid",IF(K130&lt;J130,"Partial",IF(K130=J130,"Paid","Overpaid")))</f>
        <v>Unpaid</v>
      </c>
      <c r="Q130" t="str">
        <f t="shared" ref="Q130:Q161" si="24">IF(N130=0,"None",IF(O130&lt;=7,"1-7 Days Overdue",IF(O130&lt;=14,"8-14 Days Overdue",IF(O130&gt;=15,"15+ Days Overdue","Review"))))</f>
        <v>None</v>
      </c>
    </row>
    <row r="131" spans="7:17">
      <c r="G131" s="8"/>
      <c r="H131" s="6"/>
      <c r="I131" s="6"/>
      <c r="J131" s="6">
        <f t="shared" si="20"/>
        <v>0</v>
      </c>
      <c r="K131" s="6"/>
      <c r="M131" s="8"/>
      <c r="N131" s="6">
        <f t="shared" si="21"/>
        <v>0</v>
      </c>
      <c r="O131">
        <f t="shared" ca="1" si="22"/>
        <v>0</v>
      </c>
      <c r="P131" t="str">
        <f t="shared" si="23"/>
        <v>Unpaid</v>
      </c>
      <c r="Q131" t="str">
        <f t="shared" si="24"/>
        <v>None</v>
      </c>
    </row>
    <row r="132" spans="7:17">
      <c r="G132" s="8"/>
      <c r="H132" s="6"/>
      <c r="I132" s="6"/>
      <c r="J132" s="6">
        <f t="shared" si="20"/>
        <v>0</v>
      </c>
      <c r="K132" s="6"/>
      <c r="M132" s="8"/>
      <c r="N132" s="6">
        <f t="shared" si="21"/>
        <v>0</v>
      </c>
      <c r="O132">
        <f t="shared" ca="1" si="22"/>
        <v>0</v>
      </c>
      <c r="P132" t="str">
        <f t="shared" si="23"/>
        <v>Unpaid</v>
      </c>
      <c r="Q132" t="str">
        <f t="shared" si="24"/>
        <v>None</v>
      </c>
    </row>
    <row r="133" spans="7:17">
      <c r="G133" s="8"/>
      <c r="H133" s="6"/>
      <c r="I133" s="6"/>
      <c r="J133" s="6">
        <f t="shared" si="20"/>
        <v>0</v>
      </c>
      <c r="K133" s="6"/>
      <c r="M133" s="8"/>
      <c r="N133" s="6">
        <f t="shared" si="21"/>
        <v>0</v>
      </c>
      <c r="O133">
        <f t="shared" ca="1" si="22"/>
        <v>0</v>
      </c>
      <c r="P133" t="str">
        <f t="shared" si="23"/>
        <v>Unpaid</v>
      </c>
      <c r="Q133" t="str">
        <f t="shared" si="24"/>
        <v>None</v>
      </c>
    </row>
    <row r="134" spans="7:17">
      <c r="G134" s="8"/>
      <c r="H134" s="6"/>
      <c r="I134" s="6"/>
      <c r="J134" s="6">
        <f t="shared" si="20"/>
        <v>0</v>
      </c>
      <c r="K134" s="6"/>
      <c r="M134" s="8"/>
      <c r="N134" s="6">
        <f t="shared" si="21"/>
        <v>0</v>
      </c>
      <c r="O134">
        <f t="shared" ca="1" si="22"/>
        <v>0</v>
      </c>
      <c r="P134" t="str">
        <f t="shared" si="23"/>
        <v>Unpaid</v>
      </c>
      <c r="Q134" t="str">
        <f t="shared" si="24"/>
        <v>None</v>
      </c>
    </row>
    <row r="135" spans="7:17">
      <c r="G135" s="8"/>
      <c r="H135" s="6"/>
      <c r="I135" s="6"/>
      <c r="J135" s="6">
        <f t="shared" si="20"/>
        <v>0</v>
      </c>
      <c r="K135" s="6"/>
      <c r="M135" s="8"/>
      <c r="N135" s="6">
        <f t="shared" si="21"/>
        <v>0</v>
      </c>
      <c r="O135">
        <f t="shared" ca="1" si="22"/>
        <v>0</v>
      </c>
      <c r="P135" t="str">
        <f t="shared" si="23"/>
        <v>Unpaid</v>
      </c>
      <c r="Q135" t="str">
        <f t="shared" si="24"/>
        <v>None</v>
      </c>
    </row>
    <row r="136" spans="7:17">
      <c r="G136" s="8"/>
      <c r="H136" s="6"/>
      <c r="I136" s="6"/>
      <c r="J136" s="6">
        <f t="shared" si="20"/>
        <v>0</v>
      </c>
      <c r="K136" s="6"/>
      <c r="M136" s="8"/>
      <c r="N136" s="6">
        <f t="shared" si="21"/>
        <v>0</v>
      </c>
      <c r="O136">
        <f t="shared" ca="1" si="22"/>
        <v>0</v>
      </c>
      <c r="P136" t="str">
        <f t="shared" si="23"/>
        <v>Unpaid</v>
      </c>
      <c r="Q136" t="str">
        <f t="shared" si="24"/>
        <v>None</v>
      </c>
    </row>
    <row r="137" spans="7:17">
      <c r="G137" s="8"/>
      <c r="H137" s="6"/>
      <c r="I137" s="6"/>
      <c r="J137" s="6">
        <f t="shared" si="20"/>
        <v>0</v>
      </c>
      <c r="K137" s="6"/>
      <c r="M137" s="8"/>
      <c r="N137" s="6">
        <f t="shared" si="21"/>
        <v>0</v>
      </c>
      <c r="O137">
        <f t="shared" ca="1" si="22"/>
        <v>0</v>
      </c>
      <c r="P137" t="str">
        <f t="shared" si="23"/>
        <v>Unpaid</v>
      </c>
      <c r="Q137" t="str">
        <f t="shared" si="24"/>
        <v>None</v>
      </c>
    </row>
    <row r="138" spans="7:17">
      <c r="G138" s="8"/>
      <c r="H138" s="6"/>
      <c r="I138" s="6"/>
      <c r="J138" s="6">
        <f t="shared" si="20"/>
        <v>0</v>
      </c>
      <c r="K138" s="6"/>
      <c r="M138" s="8"/>
      <c r="N138" s="6">
        <f t="shared" si="21"/>
        <v>0</v>
      </c>
      <c r="O138">
        <f t="shared" ca="1" si="22"/>
        <v>0</v>
      </c>
      <c r="P138" t="str">
        <f t="shared" si="23"/>
        <v>Unpaid</v>
      </c>
      <c r="Q138" t="str">
        <f t="shared" si="24"/>
        <v>None</v>
      </c>
    </row>
    <row r="139" spans="7:17">
      <c r="G139" s="8"/>
      <c r="H139" s="6"/>
      <c r="I139" s="6"/>
      <c r="J139" s="6">
        <f t="shared" si="20"/>
        <v>0</v>
      </c>
      <c r="K139" s="6"/>
      <c r="M139" s="8"/>
      <c r="N139" s="6">
        <f t="shared" si="21"/>
        <v>0</v>
      </c>
      <c r="O139">
        <f t="shared" ca="1" si="22"/>
        <v>0</v>
      </c>
      <c r="P139" t="str">
        <f t="shared" si="23"/>
        <v>Unpaid</v>
      </c>
      <c r="Q139" t="str">
        <f t="shared" si="24"/>
        <v>None</v>
      </c>
    </row>
    <row r="140" spans="7:17">
      <c r="G140" s="8"/>
      <c r="H140" s="6"/>
      <c r="I140" s="6"/>
      <c r="J140" s="6">
        <f t="shared" si="20"/>
        <v>0</v>
      </c>
      <c r="K140" s="6"/>
      <c r="M140" s="8"/>
      <c r="N140" s="6">
        <f t="shared" si="21"/>
        <v>0</v>
      </c>
      <c r="O140">
        <f t="shared" ca="1" si="22"/>
        <v>0</v>
      </c>
      <c r="P140" t="str">
        <f t="shared" si="23"/>
        <v>Unpaid</v>
      </c>
      <c r="Q140" t="str">
        <f t="shared" si="24"/>
        <v>None</v>
      </c>
    </row>
    <row r="141" spans="7:17">
      <c r="G141" s="8"/>
      <c r="H141" s="6"/>
      <c r="I141" s="6"/>
      <c r="J141" s="6">
        <f t="shared" si="20"/>
        <v>0</v>
      </c>
      <c r="K141" s="6"/>
      <c r="M141" s="8"/>
      <c r="N141" s="6">
        <f t="shared" si="21"/>
        <v>0</v>
      </c>
      <c r="O141">
        <f t="shared" ca="1" si="22"/>
        <v>0</v>
      </c>
      <c r="P141" t="str">
        <f t="shared" si="23"/>
        <v>Unpaid</v>
      </c>
      <c r="Q141" t="str">
        <f t="shared" si="24"/>
        <v>None</v>
      </c>
    </row>
    <row r="142" spans="7:17">
      <c r="G142" s="8"/>
      <c r="H142" s="6"/>
      <c r="I142" s="6"/>
      <c r="J142" s="6">
        <f t="shared" si="20"/>
        <v>0</v>
      </c>
      <c r="K142" s="6"/>
      <c r="M142" s="8"/>
      <c r="N142" s="6">
        <f t="shared" si="21"/>
        <v>0</v>
      </c>
      <c r="O142">
        <f t="shared" ca="1" si="22"/>
        <v>0</v>
      </c>
      <c r="P142" t="str">
        <f t="shared" si="23"/>
        <v>Unpaid</v>
      </c>
      <c r="Q142" t="str">
        <f t="shared" si="24"/>
        <v>None</v>
      </c>
    </row>
    <row r="143" spans="7:17">
      <c r="G143" s="8"/>
      <c r="H143" s="6"/>
      <c r="I143" s="6"/>
      <c r="J143" s="6">
        <f t="shared" si="20"/>
        <v>0</v>
      </c>
      <c r="K143" s="6"/>
      <c r="M143" s="8"/>
      <c r="N143" s="6">
        <f t="shared" si="21"/>
        <v>0</v>
      </c>
      <c r="O143">
        <f t="shared" ca="1" si="22"/>
        <v>0</v>
      </c>
      <c r="P143" t="str">
        <f t="shared" si="23"/>
        <v>Unpaid</v>
      </c>
      <c r="Q143" t="str">
        <f t="shared" si="24"/>
        <v>None</v>
      </c>
    </row>
    <row r="144" spans="7:17">
      <c r="G144" s="8"/>
      <c r="H144" s="6"/>
      <c r="I144" s="6"/>
      <c r="J144" s="6">
        <f t="shared" si="20"/>
        <v>0</v>
      </c>
      <c r="K144" s="6"/>
      <c r="M144" s="8"/>
      <c r="N144" s="6">
        <f t="shared" si="21"/>
        <v>0</v>
      </c>
      <c r="O144">
        <f t="shared" ca="1" si="22"/>
        <v>0</v>
      </c>
      <c r="P144" t="str">
        <f t="shared" si="23"/>
        <v>Unpaid</v>
      </c>
      <c r="Q144" t="str">
        <f t="shared" si="24"/>
        <v>None</v>
      </c>
    </row>
    <row r="145" spans="7:17">
      <c r="G145" s="8"/>
      <c r="H145" s="6"/>
      <c r="I145" s="6"/>
      <c r="J145" s="6">
        <f t="shared" si="20"/>
        <v>0</v>
      </c>
      <c r="K145" s="6"/>
      <c r="M145" s="8"/>
      <c r="N145" s="6">
        <f t="shared" si="21"/>
        <v>0</v>
      </c>
      <c r="O145">
        <f t="shared" ca="1" si="22"/>
        <v>0</v>
      </c>
      <c r="P145" t="str">
        <f t="shared" si="23"/>
        <v>Unpaid</v>
      </c>
      <c r="Q145" t="str">
        <f t="shared" si="24"/>
        <v>None</v>
      </c>
    </row>
    <row r="146" spans="7:17">
      <c r="G146" s="8"/>
      <c r="H146" s="6"/>
      <c r="I146" s="6"/>
      <c r="J146" s="6">
        <f t="shared" si="20"/>
        <v>0</v>
      </c>
      <c r="K146" s="6"/>
      <c r="M146" s="8"/>
      <c r="N146" s="6">
        <f t="shared" si="21"/>
        <v>0</v>
      </c>
      <c r="O146">
        <f t="shared" ca="1" si="22"/>
        <v>0</v>
      </c>
      <c r="P146" t="str">
        <f t="shared" si="23"/>
        <v>Unpaid</v>
      </c>
      <c r="Q146" t="str">
        <f t="shared" si="24"/>
        <v>None</v>
      </c>
    </row>
    <row r="147" spans="7:17">
      <c r="G147" s="8"/>
      <c r="H147" s="6"/>
      <c r="I147" s="6"/>
      <c r="J147" s="6">
        <f t="shared" si="20"/>
        <v>0</v>
      </c>
      <c r="K147" s="6"/>
      <c r="M147" s="8"/>
      <c r="N147" s="6">
        <f t="shared" si="21"/>
        <v>0</v>
      </c>
      <c r="O147">
        <f t="shared" ca="1" si="22"/>
        <v>0</v>
      </c>
      <c r="P147" t="str">
        <f t="shared" si="23"/>
        <v>Unpaid</v>
      </c>
      <c r="Q147" t="str">
        <f t="shared" si="24"/>
        <v>None</v>
      </c>
    </row>
    <row r="148" spans="7:17">
      <c r="G148" s="8"/>
      <c r="H148" s="6"/>
      <c r="I148" s="6"/>
      <c r="J148" s="6">
        <f t="shared" si="20"/>
        <v>0</v>
      </c>
      <c r="K148" s="6"/>
      <c r="M148" s="8"/>
      <c r="N148" s="6">
        <f t="shared" si="21"/>
        <v>0</v>
      </c>
      <c r="O148">
        <f t="shared" ca="1" si="22"/>
        <v>0</v>
      </c>
      <c r="P148" t="str">
        <f t="shared" si="23"/>
        <v>Unpaid</v>
      </c>
      <c r="Q148" t="str">
        <f t="shared" si="24"/>
        <v>None</v>
      </c>
    </row>
    <row r="149" spans="7:17">
      <c r="G149" s="8"/>
      <c r="H149" s="6"/>
      <c r="I149" s="6"/>
      <c r="J149" s="6">
        <f t="shared" si="20"/>
        <v>0</v>
      </c>
      <c r="K149" s="6"/>
      <c r="M149" s="8"/>
      <c r="N149" s="6">
        <f t="shared" si="21"/>
        <v>0</v>
      </c>
      <c r="O149">
        <f t="shared" ca="1" si="22"/>
        <v>0</v>
      </c>
      <c r="P149" t="str">
        <f t="shared" si="23"/>
        <v>Unpaid</v>
      </c>
      <c r="Q149" t="str">
        <f t="shared" si="24"/>
        <v>None</v>
      </c>
    </row>
    <row r="150" spans="7:17">
      <c r="G150" s="8"/>
      <c r="H150" s="6"/>
      <c r="I150" s="6"/>
      <c r="J150" s="6">
        <f t="shared" si="20"/>
        <v>0</v>
      </c>
      <c r="K150" s="6"/>
      <c r="M150" s="8"/>
      <c r="N150" s="6">
        <f t="shared" si="21"/>
        <v>0</v>
      </c>
      <c r="O150">
        <f t="shared" ca="1" si="22"/>
        <v>0</v>
      </c>
      <c r="P150" t="str">
        <f t="shared" si="23"/>
        <v>Unpaid</v>
      </c>
      <c r="Q150" t="str">
        <f t="shared" si="24"/>
        <v>None</v>
      </c>
    </row>
    <row r="151" spans="7:17">
      <c r="G151" s="8"/>
      <c r="H151" s="6"/>
      <c r="I151" s="6"/>
      <c r="J151" s="6">
        <f t="shared" si="20"/>
        <v>0</v>
      </c>
      <c r="K151" s="6"/>
      <c r="M151" s="8"/>
      <c r="N151" s="6">
        <f t="shared" si="21"/>
        <v>0</v>
      </c>
      <c r="O151">
        <f t="shared" ca="1" si="22"/>
        <v>0</v>
      </c>
      <c r="P151" t="str">
        <f t="shared" si="23"/>
        <v>Unpaid</v>
      </c>
      <c r="Q151" t="str">
        <f t="shared" si="24"/>
        <v>None</v>
      </c>
    </row>
    <row r="152" spans="7:17">
      <c r="G152" s="8"/>
      <c r="H152" s="6"/>
      <c r="I152" s="6"/>
      <c r="J152" s="6">
        <f t="shared" si="20"/>
        <v>0</v>
      </c>
      <c r="K152" s="6"/>
      <c r="M152" s="8"/>
      <c r="N152" s="6">
        <f t="shared" si="21"/>
        <v>0</v>
      </c>
      <c r="O152">
        <f t="shared" ca="1" si="22"/>
        <v>0</v>
      </c>
      <c r="P152" t="str">
        <f t="shared" si="23"/>
        <v>Unpaid</v>
      </c>
      <c r="Q152" t="str">
        <f t="shared" si="24"/>
        <v>None</v>
      </c>
    </row>
    <row r="153" spans="7:17">
      <c r="G153" s="8"/>
      <c r="H153" s="6"/>
      <c r="I153" s="6"/>
      <c r="J153" s="6">
        <f t="shared" si="20"/>
        <v>0</v>
      </c>
      <c r="K153" s="6"/>
      <c r="M153" s="8"/>
      <c r="N153" s="6">
        <f t="shared" si="21"/>
        <v>0</v>
      </c>
      <c r="O153">
        <f t="shared" ca="1" si="22"/>
        <v>0</v>
      </c>
      <c r="P153" t="str">
        <f t="shared" si="23"/>
        <v>Unpaid</v>
      </c>
      <c r="Q153" t="str">
        <f t="shared" si="24"/>
        <v>None</v>
      </c>
    </row>
    <row r="154" spans="7:17">
      <c r="G154" s="8"/>
      <c r="H154" s="6"/>
      <c r="I154" s="6"/>
      <c r="J154" s="6">
        <f t="shared" si="20"/>
        <v>0</v>
      </c>
      <c r="K154" s="6"/>
      <c r="M154" s="8"/>
      <c r="N154" s="6">
        <f t="shared" si="21"/>
        <v>0</v>
      </c>
      <c r="O154">
        <f t="shared" ca="1" si="22"/>
        <v>0</v>
      </c>
      <c r="P154" t="str">
        <f t="shared" si="23"/>
        <v>Unpaid</v>
      </c>
      <c r="Q154" t="str">
        <f t="shared" si="24"/>
        <v>None</v>
      </c>
    </row>
    <row r="155" spans="7:17">
      <c r="G155" s="8"/>
      <c r="H155" s="6"/>
      <c r="I155" s="6"/>
      <c r="J155" s="6">
        <f t="shared" si="20"/>
        <v>0</v>
      </c>
      <c r="K155" s="6"/>
      <c r="M155" s="8"/>
      <c r="N155" s="6">
        <f t="shared" si="21"/>
        <v>0</v>
      </c>
      <c r="O155">
        <f t="shared" ca="1" si="22"/>
        <v>0</v>
      </c>
      <c r="P155" t="str">
        <f t="shared" si="23"/>
        <v>Unpaid</v>
      </c>
      <c r="Q155" t="str">
        <f t="shared" si="24"/>
        <v>None</v>
      </c>
    </row>
    <row r="156" spans="7:17">
      <c r="G156" s="8"/>
      <c r="H156" s="6"/>
      <c r="I156" s="6"/>
      <c r="J156" s="6">
        <f t="shared" si="20"/>
        <v>0</v>
      </c>
      <c r="K156" s="6"/>
      <c r="M156" s="8"/>
      <c r="N156" s="6">
        <f t="shared" si="21"/>
        <v>0</v>
      </c>
      <c r="O156">
        <f t="shared" ca="1" si="22"/>
        <v>0</v>
      </c>
      <c r="P156" t="str">
        <f t="shared" si="23"/>
        <v>Unpaid</v>
      </c>
      <c r="Q156" t="str">
        <f t="shared" si="24"/>
        <v>None</v>
      </c>
    </row>
    <row r="157" spans="7:17">
      <c r="G157" s="8"/>
      <c r="H157" s="6"/>
      <c r="I157" s="6"/>
      <c r="J157" s="6">
        <f t="shared" si="20"/>
        <v>0</v>
      </c>
      <c r="K157" s="6"/>
      <c r="M157" s="8"/>
      <c r="N157" s="6">
        <f t="shared" si="21"/>
        <v>0</v>
      </c>
      <c r="O157">
        <f t="shared" ca="1" si="22"/>
        <v>0</v>
      </c>
      <c r="P157" t="str">
        <f t="shared" si="23"/>
        <v>Unpaid</v>
      </c>
      <c r="Q157" t="str">
        <f t="shared" si="24"/>
        <v>None</v>
      </c>
    </row>
    <row r="158" spans="7:17">
      <c r="G158" s="8"/>
      <c r="H158" s="6"/>
      <c r="I158" s="6"/>
      <c r="J158" s="6">
        <f t="shared" si="20"/>
        <v>0</v>
      </c>
      <c r="K158" s="6"/>
      <c r="M158" s="8"/>
      <c r="N158" s="6">
        <f t="shared" si="21"/>
        <v>0</v>
      </c>
      <c r="O158">
        <f t="shared" ca="1" si="22"/>
        <v>0</v>
      </c>
      <c r="P158" t="str">
        <f t="shared" si="23"/>
        <v>Unpaid</v>
      </c>
      <c r="Q158" t="str">
        <f t="shared" si="24"/>
        <v>None</v>
      </c>
    </row>
    <row r="159" spans="7:17">
      <c r="G159" s="8"/>
      <c r="H159" s="6"/>
      <c r="I159" s="6"/>
      <c r="J159" s="6">
        <f t="shared" si="20"/>
        <v>0</v>
      </c>
      <c r="K159" s="6"/>
      <c r="M159" s="8"/>
      <c r="N159" s="6">
        <f t="shared" si="21"/>
        <v>0</v>
      </c>
      <c r="O159">
        <f t="shared" ca="1" si="22"/>
        <v>0</v>
      </c>
      <c r="P159" t="str">
        <f t="shared" si="23"/>
        <v>Unpaid</v>
      </c>
      <c r="Q159" t="str">
        <f t="shared" si="24"/>
        <v>None</v>
      </c>
    </row>
    <row r="160" spans="7:17">
      <c r="G160" s="8"/>
      <c r="H160" s="6"/>
      <c r="I160" s="6"/>
      <c r="J160" s="6">
        <f t="shared" si="20"/>
        <v>0</v>
      </c>
      <c r="K160" s="6"/>
      <c r="M160" s="8"/>
      <c r="N160" s="6">
        <f t="shared" si="21"/>
        <v>0</v>
      </c>
      <c r="O160">
        <f t="shared" ca="1" si="22"/>
        <v>0</v>
      </c>
      <c r="P160" t="str">
        <f t="shared" si="23"/>
        <v>Unpaid</v>
      </c>
      <c r="Q160" t="str">
        <f t="shared" si="24"/>
        <v>None</v>
      </c>
    </row>
    <row r="161" spans="7:17">
      <c r="G161" s="8"/>
      <c r="H161" s="6"/>
      <c r="I161" s="6"/>
      <c r="J161" s="6">
        <f t="shared" si="20"/>
        <v>0</v>
      </c>
      <c r="K161" s="6"/>
      <c r="M161" s="8"/>
      <c r="N161" s="6">
        <f t="shared" si="21"/>
        <v>0</v>
      </c>
      <c r="O161">
        <f t="shared" ca="1" si="22"/>
        <v>0</v>
      </c>
      <c r="P161" t="str">
        <f t="shared" si="23"/>
        <v>Unpaid</v>
      </c>
      <c r="Q161" t="str">
        <f t="shared" si="24"/>
        <v>None</v>
      </c>
    </row>
    <row r="162" spans="7:17">
      <c r="G162" s="8"/>
      <c r="H162" s="6"/>
      <c r="I162" s="6"/>
      <c r="J162" s="6">
        <f t="shared" ref="J162:J193" si="25">H162+I162</f>
        <v>0</v>
      </c>
      <c r="K162" s="6"/>
      <c r="M162" s="8"/>
      <c r="N162" s="6">
        <f t="shared" ref="N162:N193" si="26">MAX(0,J162-K162)</f>
        <v>0</v>
      </c>
      <c r="O162">
        <f t="shared" ref="O162:O193" ca="1" si="27">IF(N162=0,0,IF(M162="",MAX(0,TODAY()-DATEVALUE(G162)),MAX(0,DATEVALUE(M162)-DATEVALUE(G162))))</f>
        <v>0</v>
      </c>
      <c r="P162" t="str">
        <f t="shared" ref="P162:P193" si="28">IF(K162=0,"Unpaid",IF(K162&lt;J162,"Partial",IF(K162=J162,"Paid","Overpaid")))</f>
        <v>Unpaid</v>
      </c>
      <c r="Q162" t="str">
        <f t="shared" ref="Q162:Q193" si="29">IF(N162=0,"None",IF(O162&lt;=7,"1-7 Days Overdue",IF(O162&lt;=14,"8-14 Days Overdue",IF(O162&gt;=15,"15+ Days Overdue","Review"))))</f>
        <v>None</v>
      </c>
    </row>
    <row r="163" spans="7:17">
      <c r="G163" s="8"/>
      <c r="H163" s="6"/>
      <c r="I163" s="6"/>
      <c r="J163" s="6">
        <f t="shared" si="25"/>
        <v>0</v>
      </c>
      <c r="K163" s="6"/>
      <c r="M163" s="8"/>
      <c r="N163" s="6">
        <f t="shared" si="26"/>
        <v>0</v>
      </c>
      <c r="O163">
        <f t="shared" ca="1" si="27"/>
        <v>0</v>
      </c>
      <c r="P163" t="str">
        <f t="shared" si="28"/>
        <v>Unpaid</v>
      </c>
      <c r="Q163" t="str">
        <f t="shared" si="29"/>
        <v>None</v>
      </c>
    </row>
    <row r="164" spans="7:17">
      <c r="G164" s="8"/>
      <c r="H164" s="6"/>
      <c r="I164" s="6"/>
      <c r="J164" s="6">
        <f t="shared" si="25"/>
        <v>0</v>
      </c>
      <c r="K164" s="6"/>
      <c r="M164" s="8"/>
      <c r="N164" s="6">
        <f t="shared" si="26"/>
        <v>0</v>
      </c>
      <c r="O164">
        <f t="shared" ca="1" si="27"/>
        <v>0</v>
      </c>
      <c r="P164" t="str">
        <f t="shared" si="28"/>
        <v>Unpaid</v>
      </c>
      <c r="Q164" t="str">
        <f t="shared" si="29"/>
        <v>None</v>
      </c>
    </row>
    <row r="165" spans="7:17">
      <c r="G165" s="8"/>
      <c r="H165" s="6"/>
      <c r="I165" s="6"/>
      <c r="J165" s="6">
        <f t="shared" si="25"/>
        <v>0</v>
      </c>
      <c r="K165" s="6"/>
      <c r="M165" s="8"/>
      <c r="N165" s="6">
        <f t="shared" si="26"/>
        <v>0</v>
      </c>
      <c r="O165">
        <f t="shared" ca="1" si="27"/>
        <v>0</v>
      </c>
      <c r="P165" t="str">
        <f t="shared" si="28"/>
        <v>Unpaid</v>
      </c>
      <c r="Q165" t="str">
        <f t="shared" si="29"/>
        <v>None</v>
      </c>
    </row>
    <row r="166" spans="7:17">
      <c r="G166" s="8"/>
      <c r="H166" s="6"/>
      <c r="I166" s="6"/>
      <c r="J166" s="6">
        <f t="shared" si="25"/>
        <v>0</v>
      </c>
      <c r="K166" s="6"/>
      <c r="M166" s="8"/>
      <c r="N166" s="6">
        <f t="shared" si="26"/>
        <v>0</v>
      </c>
      <c r="O166">
        <f t="shared" ca="1" si="27"/>
        <v>0</v>
      </c>
      <c r="P166" t="str">
        <f t="shared" si="28"/>
        <v>Unpaid</v>
      </c>
      <c r="Q166" t="str">
        <f t="shared" si="29"/>
        <v>None</v>
      </c>
    </row>
    <row r="167" spans="7:17">
      <c r="G167" s="8"/>
      <c r="H167" s="6"/>
      <c r="I167" s="6"/>
      <c r="J167" s="6">
        <f t="shared" si="25"/>
        <v>0</v>
      </c>
      <c r="K167" s="6"/>
      <c r="M167" s="8"/>
      <c r="N167" s="6">
        <f t="shared" si="26"/>
        <v>0</v>
      </c>
      <c r="O167">
        <f t="shared" ca="1" si="27"/>
        <v>0</v>
      </c>
      <c r="P167" t="str">
        <f t="shared" si="28"/>
        <v>Unpaid</v>
      </c>
      <c r="Q167" t="str">
        <f t="shared" si="29"/>
        <v>None</v>
      </c>
    </row>
    <row r="168" spans="7:17">
      <c r="G168" s="8"/>
      <c r="H168" s="6"/>
      <c r="I168" s="6"/>
      <c r="J168" s="6">
        <f t="shared" si="25"/>
        <v>0</v>
      </c>
      <c r="K168" s="6"/>
      <c r="M168" s="8"/>
      <c r="N168" s="6">
        <f t="shared" si="26"/>
        <v>0</v>
      </c>
      <c r="O168">
        <f t="shared" ca="1" si="27"/>
        <v>0</v>
      </c>
      <c r="P168" t="str">
        <f t="shared" si="28"/>
        <v>Unpaid</v>
      </c>
      <c r="Q168" t="str">
        <f t="shared" si="29"/>
        <v>None</v>
      </c>
    </row>
    <row r="169" spans="7:17">
      <c r="G169" s="8"/>
      <c r="H169" s="6"/>
      <c r="I169" s="6"/>
      <c r="J169" s="6">
        <f t="shared" si="25"/>
        <v>0</v>
      </c>
      <c r="K169" s="6"/>
      <c r="M169" s="8"/>
      <c r="N169" s="6">
        <f t="shared" si="26"/>
        <v>0</v>
      </c>
      <c r="O169">
        <f t="shared" ca="1" si="27"/>
        <v>0</v>
      </c>
      <c r="P169" t="str">
        <f t="shared" si="28"/>
        <v>Unpaid</v>
      </c>
      <c r="Q169" t="str">
        <f t="shared" si="29"/>
        <v>None</v>
      </c>
    </row>
    <row r="170" spans="7:17">
      <c r="G170" s="8"/>
      <c r="H170" s="6"/>
      <c r="I170" s="6"/>
      <c r="J170" s="6">
        <f t="shared" si="25"/>
        <v>0</v>
      </c>
      <c r="K170" s="6"/>
      <c r="M170" s="8"/>
      <c r="N170" s="6">
        <f t="shared" si="26"/>
        <v>0</v>
      </c>
      <c r="O170">
        <f t="shared" ca="1" si="27"/>
        <v>0</v>
      </c>
      <c r="P170" t="str">
        <f t="shared" si="28"/>
        <v>Unpaid</v>
      </c>
      <c r="Q170" t="str">
        <f t="shared" si="29"/>
        <v>None</v>
      </c>
    </row>
    <row r="171" spans="7:17">
      <c r="G171" s="8"/>
      <c r="H171" s="6"/>
      <c r="I171" s="6"/>
      <c r="J171" s="6">
        <f t="shared" si="25"/>
        <v>0</v>
      </c>
      <c r="K171" s="6"/>
      <c r="M171" s="8"/>
      <c r="N171" s="6">
        <f t="shared" si="26"/>
        <v>0</v>
      </c>
      <c r="O171">
        <f t="shared" ca="1" si="27"/>
        <v>0</v>
      </c>
      <c r="P171" t="str">
        <f t="shared" si="28"/>
        <v>Unpaid</v>
      </c>
      <c r="Q171" t="str">
        <f t="shared" si="29"/>
        <v>None</v>
      </c>
    </row>
    <row r="172" spans="7:17">
      <c r="G172" s="8"/>
      <c r="H172" s="6"/>
      <c r="I172" s="6"/>
      <c r="J172" s="6">
        <f t="shared" si="25"/>
        <v>0</v>
      </c>
      <c r="K172" s="6"/>
      <c r="M172" s="8"/>
      <c r="N172" s="6">
        <f t="shared" si="26"/>
        <v>0</v>
      </c>
      <c r="O172">
        <f t="shared" ca="1" si="27"/>
        <v>0</v>
      </c>
      <c r="P172" t="str">
        <f t="shared" si="28"/>
        <v>Unpaid</v>
      </c>
      <c r="Q172" t="str">
        <f t="shared" si="29"/>
        <v>None</v>
      </c>
    </row>
    <row r="173" spans="7:17">
      <c r="G173" s="8"/>
      <c r="H173" s="6"/>
      <c r="I173" s="6"/>
      <c r="J173" s="6">
        <f t="shared" si="25"/>
        <v>0</v>
      </c>
      <c r="K173" s="6"/>
      <c r="M173" s="8"/>
      <c r="N173" s="6">
        <f t="shared" si="26"/>
        <v>0</v>
      </c>
      <c r="O173">
        <f t="shared" ca="1" si="27"/>
        <v>0</v>
      </c>
      <c r="P173" t="str">
        <f t="shared" si="28"/>
        <v>Unpaid</v>
      </c>
      <c r="Q173" t="str">
        <f t="shared" si="29"/>
        <v>None</v>
      </c>
    </row>
    <row r="174" spans="7:17">
      <c r="G174" s="8"/>
      <c r="H174" s="6"/>
      <c r="I174" s="6"/>
      <c r="J174" s="6">
        <f t="shared" si="25"/>
        <v>0</v>
      </c>
      <c r="K174" s="6"/>
      <c r="M174" s="8"/>
      <c r="N174" s="6">
        <f t="shared" si="26"/>
        <v>0</v>
      </c>
      <c r="O174">
        <f t="shared" ca="1" si="27"/>
        <v>0</v>
      </c>
      <c r="P174" t="str">
        <f t="shared" si="28"/>
        <v>Unpaid</v>
      </c>
      <c r="Q174" t="str">
        <f t="shared" si="29"/>
        <v>None</v>
      </c>
    </row>
    <row r="175" spans="7:17">
      <c r="G175" s="8"/>
      <c r="H175" s="6"/>
      <c r="I175" s="6"/>
      <c r="J175" s="6">
        <f t="shared" si="25"/>
        <v>0</v>
      </c>
      <c r="K175" s="6"/>
      <c r="M175" s="8"/>
      <c r="N175" s="6">
        <f t="shared" si="26"/>
        <v>0</v>
      </c>
      <c r="O175">
        <f t="shared" ca="1" si="27"/>
        <v>0</v>
      </c>
      <c r="P175" t="str">
        <f t="shared" si="28"/>
        <v>Unpaid</v>
      </c>
      <c r="Q175" t="str">
        <f t="shared" si="29"/>
        <v>None</v>
      </c>
    </row>
    <row r="176" spans="7:17">
      <c r="G176" s="8"/>
      <c r="H176" s="6"/>
      <c r="I176" s="6"/>
      <c r="J176" s="6">
        <f t="shared" si="25"/>
        <v>0</v>
      </c>
      <c r="K176" s="6"/>
      <c r="M176" s="8"/>
      <c r="N176" s="6">
        <f t="shared" si="26"/>
        <v>0</v>
      </c>
      <c r="O176">
        <f t="shared" ca="1" si="27"/>
        <v>0</v>
      </c>
      <c r="P176" t="str">
        <f t="shared" si="28"/>
        <v>Unpaid</v>
      </c>
      <c r="Q176" t="str">
        <f t="shared" si="29"/>
        <v>None</v>
      </c>
    </row>
    <row r="177" spans="7:17">
      <c r="G177" s="8"/>
      <c r="H177" s="6"/>
      <c r="I177" s="6"/>
      <c r="J177" s="6">
        <f t="shared" si="25"/>
        <v>0</v>
      </c>
      <c r="K177" s="6"/>
      <c r="M177" s="8"/>
      <c r="N177" s="6">
        <f t="shared" si="26"/>
        <v>0</v>
      </c>
      <c r="O177">
        <f t="shared" ca="1" si="27"/>
        <v>0</v>
      </c>
      <c r="P177" t="str">
        <f t="shared" si="28"/>
        <v>Unpaid</v>
      </c>
      <c r="Q177" t="str">
        <f t="shared" si="29"/>
        <v>None</v>
      </c>
    </row>
    <row r="178" spans="7:17">
      <c r="G178" s="8"/>
      <c r="H178" s="6"/>
      <c r="I178" s="6"/>
      <c r="J178" s="6">
        <f t="shared" si="25"/>
        <v>0</v>
      </c>
      <c r="K178" s="6"/>
      <c r="M178" s="8"/>
      <c r="N178" s="6">
        <f t="shared" si="26"/>
        <v>0</v>
      </c>
      <c r="O178">
        <f t="shared" ca="1" si="27"/>
        <v>0</v>
      </c>
      <c r="P178" t="str">
        <f t="shared" si="28"/>
        <v>Unpaid</v>
      </c>
      <c r="Q178" t="str">
        <f t="shared" si="29"/>
        <v>None</v>
      </c>
    </row>
    <row r="179" spans="7:17">
      <c r="G179" s="8"/>
      <c r="H179" s="6"/>
      <c r="I179" s="6"/>
      <c r="J179" s="6">
        <f t="shared" si="25"/>
        <v>0</v>
      </c>
      <c r="K179" s="6"/>
      <c r="M179" s="8"/>
      <c r="N179" s="6">
        <f t="shared" si="26"/>
        <v>0</v>
      </c>
      <c r="O179">
        <f t="shared" ca="1" si="27"/>
        <v>0</v>
      </c>
      <c r="P179" t="str">
        <f t="shared" si="28"/>
        <v>Unpaid</v>
      </c>
      <c r="Q179" t="str">
        <f t="shared" si="29"/>
        <v>None</v>
      </c>
    </row>
    <row r="180" spans="7:17">
      <c r="G180" s="8"/>
      <c r="H180" s="6"/>
      <c r="I180" s="6"/>
      <c r="J180" s="6">
        <f t="shared" si="25"/>
        <v>0</v>
      </c>
      <c r="K180" s="6"/>
      <c r="M180" s="8"/>
      <c r="N180" s="6">
        <f t="shared" si="26"/>
        <v>0</v>
      </c>
      <c r="O180">
        <f t="shared" ca="1" si="27"/>
        <v>0</v>
      </c>
      <c r="P180" t="str">
        <f t="shared" si="28"/>
        <v>Unpaid</v>
      </c>
      <c r="Q180" t="str">
        <f t="shared" si="29"/>
        <v>None</v>
      </c>
    </row>
    <row r="181" spans="7:17">
      <c r="G181" s="8"/>
      <c r="H181" s="6"/>
      <c r="I181" s="6"/>
      <c r="J181" s="6">
        <f t="shared" si="25"/>
        <v>0</v>
      </c>
      <c r="K181" s="6"/>
      <c r="M181" s="8"/>
      <c r="N181" s="6">
        <f t="shared" si="26"/>
        <v>0</v>
      </c>
      <c r="O181">
        <f t="shared" ca="1" si="27"/>
        <v>0</v>
      </c>
      <c r="P181" t="str">
        <f t="shared" si="28"/>
        <v>Unpaid</v>
      </c>
      <c r="Q181" t="str">
        <f t="shared" si="29"/>
        <v>None</v>
      </c>
    </row>
    <row r="182" spans="7:17">
      <c r="G182" s="8"/>
      <c r="H182" s="6"/>
      <c r="I182" s="6"/>
      <c r="J182" s="6">
        <f t="shared" si="25"/>
        <v>0</v>
      </c>
      <c r="K182" s="6"/>
      <c r="M182" s="8"/>
      <c r="N182" s="6">
        <f t="shared" si="26"/>
        <v>0</v>
      </c>
      <c r="O182">
        <f t="shared" ca="1" si="27"/>
        <v>0</v>
      </c>
      <c r="P182" t="str">
        <f t="shared" si="28"/>
        <v>Unpaid</v>
      </c>
      <c r="Q182" t="str">
        <f t="shared" si="29"/>
        <v>None</v>
      </c>
    </row>
    <row r="183" spans="7:17">
      <c r="G183" s="8"/>
      <c r="H183" s="6"/>
      <c r="I183" s="6"/>
      <c r="J183" s="6">
        <f t="shared" si="25"/>
        <v>0</v>
      </c>
      <c r="K183" s="6"/>
      <c r="M183" s="8"/>
      <c r="N183" s="6">
        <f t="shared" si="26"/>
        <v>0</v>
      </c>
      <c r="O183">
        <f t="shared" ca="1" si="27"/>
        <v>0</v>
      </c>
      <c r="P183" t="str">
        <f t="shared" si="28"/>
        <v>Unpaid</v>
      </c>
      <c r="Q183" t="str">
        <f t="shared" si="29"/>
        <v>None</v>
      </c>
    </row>
    <row r="184" spans="7:17">
      <c r="G184" s="8"/>
      <c r="H184" s="6"/>
      <c r="I184" s="6"/>
      <c r="J184" s="6">
        <f t="shared" si="25"/>
        <v>0</v>
      </c>
      <c r="K184" s="6"/>
      <c r="M184" s="8"/>
      <c r="N184" s="6">
        <f t="shared" si="26"/>
        <v>0</v>
      </c>
      <c r="O184">
        <f t="shared" ca="1" si="27"/>
        <v>0</v>
      </c>
      <c r="P184" t="str">
        <f t="shared" si="28"/>
        <v>Unpaid</v>
      </c>
      <c r="Q184" t="str">
        <f t="shared" si="29"/>
        <v>None</v>
      </c>
    </row>
    <row r="185" spans="7:17">
      <c r="G185" s="8"/>
      <c r="H185" s="6"/>
      <c r="I185" s="6"/>
      <c r="J185" s="6">
        <f t="shared" si="25"/>
        <v>0</v>
      </c>
      <c r="K185" s="6"/>
      <c r="M185" s="8"/>
      <c r="N185" s="6">
        <f t="shared" si="26"/>
        <v>0</v>
      </c>
      <c r="O185">
        <f t="shared" ca="1" si="27"/>
        <v>0</v>
      </c>
      <c r="P185" t="str">
        <f t="shared" si="28"/>
        <v>Unpaid</v>
      </c>
      <c r="Q185" t="str">
        <f t="shared" si="29"/>
        <v>None</v>
      </c>
    </row>
    <row r="186" spans="7:17">
      <c r="G186" s="8"/>
      <c r="H186" s="6"/>
      <c r="I186" s="6"/>
      <c r="J186" s="6">
        <f t="shared" si="25"/>
        <v>0</v>
      </c>
      <c r="K186" s="6"/>
      <c r="M186" s="8"/>
      <c r="N186" s="6">
        <f t="shared" si="26"/>
        <v>0</v>
      </c>
      <c r="O186">
        <f t="shared" ca="1" si="27"/>
        <v>0</v>
      </c>
      <c r="P186" t="str">
        <f t="shared" si="28"/>
        <v>Unpaid</v>
      </c>
      <c r="Q186" t="str">
        <f t="shared" si="29"/>
        <v>None</v>
      </c>
    </row>
    <row r="187" spans="7:17">
      <c r="G187" s="8"/>
      <c r="H187" s="6"/>
      <c r="I187" s="6"/>
      <c r="J187" s="6">
        <f t="shared" si="25"/>
        <v>0</v>
      </c>
      <c r="K187" s="6"/>
      <c r="M187" s="8"/>
      <c r="N187" s="6">
        <f t="shared" si="26"/>
        <v>0</v>
      </c>
      <c r="O187">
        <f t="shared" ca="1" si="27"/>
        <v>0</v>
      </c>
      <c r="P187" t="str">
        <f t="shared" si="28"/>
        <v>Unpaid</v>
      </c>
      <c r="Q187" t="str">
        <f t="shared" si="29"/>
        <v>None</v>
      </c>
    </row>
    <row r="188" spans="7:17">
      <c r="G188" s="8"/>
      <c r="H188" s="6"/>
      <c r="I188" s="6"/>
      <c r="J188" s="6">
        <f t="shared" si="25"/>
        <v>0</v>
      </c>
      <c r="K188" s="6"/>
      <c r="M188" s="8"/>
      <c r="N188" s="6">
        <f t="shared" si="26"/>
        <v>0</v>
      </c>
      <c r="O188">
        <f t="shared" ca="1" si="27"/>
        <v>0</v>
      </c>
      <c r="P188" t="str">
        <f t="shared" si="28"/>
        <v>Unpaid</v>
      </c>
      <c r="Q188" t="str">
        <f t="shared" si="29"/>
        <v>None</v>
      </c>
    </row>
    <row r="189" spans="7:17">
      <c r="G189" s="8"/>
      <c r="H189" s="6"/>
      <c r="I189" s="6"/>
      <c r="J189" s="6">
        <f t="shared" si="25"/>
        <v>0</v>
      </c>
      <c r="K189" s="6"/>
      <c r="M189" s="8"/>
      <c r="N189" s="6">
        <f t="shared" si="26"/>
        <v>0</v>
      </c>
      <c r="O189">
        <f t="shared" ca="1" si="27"/>
        <v>0</v>
      </c>
      <c r="P189" t="str">
        <f t="shared" si="28"/>
        <v>Unpaid</v>
      </c>
      <c r="Q189" t="str">
        <f t="shared" si="29"/>
        <v>None</v>
      </c>
    </row>
    <row r="190" spans="7:17">
      <c r="G190" s="8"/>
      <c r="H190" s="6"/>
      <c r="I190" s="6"/>
      <c r="J190" s="6">
        <f t="shared" si="25"/>
        <v>0</v>
      </c>
      <c r="K190" s="6"/>
      <c r="M190" s="8"/>
      <c r="N190" s="6">
        <f t="shared" si="26"/>
        <v>0</v>
      </c>
      <c r="O190">
        <f t="shared" ca="1" si="27"/>
        <v>0</v>
      </c>
      <c r="P190" t="str">
        <f t="shared" si="28"/>
        <v>Unpaid</v>
      </c>
      <c r="Q190" t="str">
        <f t="shared" si="29"/>
        <v>None</v>
      </c>
    </row>
    <row r="191" spans="7:17">
      <c r="G191" s="8"/>
      <c r="H191" s="6"/>
      <c r="I191" s="6"/>
      <c r="J191" s="6">
        <f t="shared" si="25"/>
        <v>0</v>
      </c>
      <c r="K191" s="6"/>
      <c r="M191" s="8"/>
      <c r="N191" s="6">
        <f t="shared" si="26"/>
        <v>0</v>
      </c>
      <c r="O191">
        <f t="shared" ca="1" si="27"/>
        <v>0</v>
      </c>
      <c r="P191" t="str">
        <f t="shared" si="28"/>
        <v>Unpaid</v>
      </c>
      <c r="Q191" t="str">
        <f t="shared" si="29"/>
        <v>None</v>
      </c>
    </row>
    <row r="192" spans="7:17">
      <c r="G192" s="8"/>
      <c r="H192" s="6"/>
      <c r="I192" s="6"/>
      <c r="J192" s="6">
        <f t="shared" si="25"/>
        <v>0</v>
      </c>
      <c r="K192" s="6"/>
      <c r="M192" s="8"/>
      <c r="N192" s="6">
        <f t="shared" si="26"/>
        <v>0</v>
      </c>
      <c r="O192">
        <f t="shared" ca="1" si="27"/>
        <v>0</v>
      </c>
      <c r="P192" t="str">
        <f t="shared" si="28"/>
        <v>Unpaid</v>
      </c>
      <c r="Q192" t="str">
        <f t="shared" si="29"/>
        <v>None</v>
      </c>
    </row>
    <row r="193" spans="7:17">
      <c r="G193" s="8"/>
      <c r="H193" s="6"/>
      <c r="I193" s="6"/>
      <c r="J193" s="6">
        <f t="shared" si="25"/>
        <v>0</v>
      </c>
      <c r="K193" s="6"/>
      <c r="M193" s="8"/>
      <c r="N193" s="6">
        <f t="shared" si="26"/>
        <v>0</v>
      </c>
      <c r="O193">
        <f t="shared" ca="1" si="27"/>
        <v>0</v>
      </c>
      <c r="P193" t="str">
        <f t="shared" si="28"/>
        <v>Unpaid</v>
      </c>
      <c r="Q193" t="str">
        <f t="shared" si="29"/>
        <v>None</v>
      </c>
    </row>
    <row r="194" spans="7:17">
      <c r="G194" s="8"/>
      <c r="H194" s="6"/>
      <c r="I194" s="6"/>
      <c r="J194" s="6">
        <f t="shared" ref="J194:J225" si="30">H194+I194</f>
        <v>0</v>
      </c>
      <c r="K194" s="6"/>
      <c r="M194" s="8"/>
      <c r="N194" s="6">
        <f t="shared" ref="N194:N200" si="31">MAX(0,J194-K194)</f>
        <v>0</v>
      </c>
      <c r="O194">
        <f t="shared" ref="O194:O225" ca="1" si="32">IF(N194=0,0,IF(M194="",MAX(0,TODAY()-DATEVALUE(G194)),MAX(0,DATEVALUE(M194)-DATEVALUE(G194))))</f>
        <v>0</v>
      </c>
      <c r="P194" t="str">
        <f t="shared" ref="P194:P200" si="33">IF(K194=0,"Unpaid",IF(K194&lt;J194,"Partial",IF(K194=J194,"Paid","Overpaid")))</f>
        <v>Unpaid</v>
      </c>
      <c r="Q194" t="str">
        <f t="shared" ref="Q194:Q200" si="34">IF(N194=0,"None",IF(O194&lt;=7,"1-7 Days Overdue",IF(O194&lt;=14,"8-14 Days Overdue",IF(O194&gt;=15,"15+ Days Overdue","Review"))))</f>
        <v>None</v>
      </c>
    </row>
    <row r="195" spans="7:17">
      <c r="G195" s="8"/>
      <c r="H195" s="6"/>
      <c r="I195" s="6"/>
      <c r="J195" s="6">
        <f t="shared" si="30"/>
        <v>0</v>
      </c>
      <c r="K195" s="6"/>
      <c r="M195" s="8"/>
      <c r="N195" s="6">
        <f t="shared" si="31"/>
        <v>0</v>
      </c>
      <c r="O195">
        <f t="shared" ca="1" si="32"/>
        <v>0</v>
      </c>
      <c r="P195" t="str">
        <f t="shared" si="33"/>
        <v>Unpaid</v>
      </c>
      <c r="Q195" t="str">
        <f t="shared" si="34"/>
        <v>None</v>
      </c>
    </row>
    <row r="196" spans="7:17">
      <c r="G196" s="8"/>
      <c r="H196" s="6"/>
      <c r="I196" s="6"/>
      <c r="J196" s="6">
        <f t="shared" si="30"/>
        <v>0</v>
      </c>
      <c r="K196" s="6"/>
      <c r="M196" s="8"/>
      <c r="N196" s="6">
        <f t="shared" si="31"/>
        <v>0</v>
      </c>
      <c r="O196">
        <f t="shared" ca="1" si="32"/>
        <v>0</v>
      </c>
      <c r="P196" t="str">
        <f t="shared" si="33"/>
        <v>Unpaid</v>
      </c>
      <c r="Q196" t="str">
        <f t="shared" si="34"/>
        <v>None</v>
      </c>
    </row>
    <row r="197" spans="7:17">
      <c r="G197" s="8"/>
      <c r="H197" s="6"/>
      <c r="I197" s="6"/>
      <c r="J197" s="6">
        <f t="shared" si="30"/>
        <v>0</v>
      </c>
      <c r="K197" s="6"/>
      <c r="M197" s="8"/>
      <c r="N197" s="6">
        <f t="shared" si="31"/>
        <v>0</v>
      </c>
      <c r="O197">
        <f t="shared" ca="1" si="32"/>
        <v>0</v>
      </c>
      <c r="P197" t="str">
        <f t="shared" si="33"/>
        <v>Unpaid</v>
      </c>
      <c r="Q197" t="str">
        <f t="shared" si="34"/>
        <v>None</v>
      </c>
    </row>
    <row r="198" spans="7:17">
      <c r="G198" s="8"/>
      <c r="H198" s="6"/>
      <c r="I198" s="6"/>
      <c r="J198" s="6">
        <f t="shared" si="30"/>
        <v>0</v>
      </c>
      <c r="K198" s="6"/>
      <c r="M198" s="8"/>
      <c r="N198" s="6">
        <f t="shared" si="31"/>
        <v>0</v>
      </c>
      <c r="O198">
        <f t="shared" ca="1" si="32"/>
        <v>0</v>
      </c>
      <c r="P198" t="str">
        <f t="shared" si="33"/>
        <v>Unpaid</v>
      </c>
      <c r="Q198" t="str">
        <f t="shared" si="34"/>
        <v>None</v>
      </c>
    </row>
    <row r="199" spans="7:17">
      <c r="G199" s="8"/>
      <c r="H199" s="6"/>
      <c r="I199" s="6"/>
      <c r="J199" s="6">
        <f t="shared" si="30"/>
        <v>0</v>
      </c>
      <c r="K199" s="6"/>
      <c r="M199" s="8"/>
      <c r="N199" s="6">
        <f t="shared" si="31"/>
        <v>0</v>
      </c>
      <c r="O199">
        <f t="shared" ca="1" si="32"/>
        <v>0</v>
      </c>
      <c r="P199" t="str">
        <f t="shared" si="33"/>
        <v>Unpaid</v>
      </c>
      <c r="Q199" t="str">
        <f t="shared" si="34"/>
        <v>None</v>
      </c>
    </row>
    <row r="200" spans="7:17">
      <c r="G200" s="8"/>
      <c r="H200" s="6"/>
      <c r="I200" s="6"/>
      <c r="J200" s="6">
        <f t="shared" si="30"/>
        <v>0</v>
      </c>
      <c r="K200" s="6"/>
      <c r="M200" s="8"/>
      <c r="N200" s="6">
        <f t="shared" si="31"/>
        <v>0</v>
      </c>
      <c r="O200">
        <f t="shared" ca="1" si="32"/>
        <v>0</v>
      </c>
      <c r="P200" t="str">
        <f t="shared" si="33"/>
        <v>Unpaid</v>
      </c>
      <c r="Q200" t="str">
        <f t="shared" si="34"/>
        <v>None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00"/>
  <sheetViews>
    <sheetView workbookViewId="0"/>
  </sheetViews>
  <sheetFormatPr defaultRowHeight="13.5"/>
  <cols>
    <col min="1" max="17" width="18" customWidth="1"/>
    <col min="18" max="18" width="34" customWidth="1"/>
  </cols>
  <sheetData>
    <row r="1" spans="1:18" ht="27.75">
      <c r="A1" s="3" t="s">
        <v>568</v>
      </c>
      <c r="B1" s="3" t="s">
        <v>158</v>
      </c>
      <c r="C1" s="3" t="s">
        <v>159</v>
      </c>
      <c r="D1" s="3" t="s">
        <v>569</v>
      </c>
      <c r="E1" s="3" t="s">
        <v>570</v>
      </c>
      <c r="F1" s="3" t="s">
        <v>571</v>
      </c>
      <c r="G1" s="3" t="s">
        <v>234</v>
      </c>
      <c r="H1" s="3" t="s">
        <v>572</v>
      </c>
      <c r="I1" s="3" t="s">
        <v>573</v>
      </c>
      <c r="J1" s="3" t="s">
        <v>574</v>
      </c>
      <c r="K1" s="3" t="s">
        <v>575</v>
      </c>
      <c r="L1" s="3" t="s">
        <v>576</v>
      </c>
      <c r="M1" s="3" t="s">
        <v>577</v>
      </c>
      <c r="N1" s="3" t="s">
        <v>578</v>
      </c>
      <c r="O1" s="3" t="s">
        <v>579</v>
      </c>
      <c r="P1" s="3" t="s">
        <v>543</v>
      </c>
      <c r="Q1" s="3" t="s">
        <v>580</v>
      </c>
      <c r="R1" s="3" t="s">
        <v>56</v>
      </c>
    </row>
    <row r="2" spans="1:18">
      <c r="A2" s="4" t="s">
        <v>581</v>
      </c>
      <c r="B2" s="4" t="s">
        <v>218</v>
      </c>
      <c r="C2" s="4" t="s">
        <v>219</v>
      </c>
      <c r="D2" s="4" t="s">
        <v>548</v>
      </c>
      <c r="E2" s="5">
        <v>60000</v>
      </c>
      <c r="F2" s="5">
        <v>0</v>
      </c>
      <c r="G2" s="9">
        <v>0.05</v>
      </c>
      <c r="H2" s="5">
        <f t="shared" ref="H2:H33" si="0">E2*G2</f>
        <v>3000</v>
      </c>
      <c r="I2" s="5">
        <v>0</v>
      </c>
      <c r="J2" s="5">
        <v>0</v>
      </c>
      <c r="K2" s="5">
        <v>0</v>
      </c>
      <c r="L2" s="5">
        <f t="shared" ref="L2:L33" si="1">H2+I2+J2+K2</f>
        <v>3000</v>
      </c>
      <c r="M2" s="5">
        <f t="shared" ref="M2:M33" si="2">E2-L2</f>
        <v>57000</v>
      </c>
      <c r="N2" s="4" t="s">
        <v>582</v>
      </c>
      <c r="O2" s="4" t="s">
        <v>208</v>
      </c>
      <c r="P2" s="7" t="s">
        <v>583</v>
      </c>
      <c r="Q2" s="4" t="s">
        <v>96</v>
      </c>
      <c r="R2" s="4" t="s">
        <v>584</v>
      </c>
    </row>
    <row r="3" spans="1:18">
      <c r="A3" s="4" t="s">
        <v>585</v>
      </c>
      <c r="B3" s="4" t="s">
        <v>218</v>
      </c>
      <c r="C3" s="4" t="s">
        <v>219</v>
      </c>
      <c r="D3" s="4" t="s">
        <v>553</v>
      </c>
      <c r="E3" s="5">
        <v>45000</v>
      </c>
      <c r="F3" s="5">
        <v>0</v>
      </c>
      <c r="G3" s="9">
        <v>0.05</v>
      </c>
      <c r="H3" s="5">
        <f t="shared" si="0"/>
        <v>2250</v>
      </c>
      <c r="I3" s="5">
        <v>5000</v>
      </c>
      <c r="J3" s="5">
        <v>0</v>
      </c>
      <c r="K3" s="5">
        <v>0</v>
      </c>
      <c r="L3" s="5">
        <f t="shared" si="1"/>
        <v>7250</v>
      </c>
      <c r="M3" s="5">
        <f t="shared" si="2"/>
        <v>37750</v>
      </c>
      <c r="N3" s="4" t="s">
        <v>582</v>
      </c>
      <c r="O3" s="4" t="s">
        <v>208</v>
      </c>
      <c r="P3" s="7" t="s">
        <v>586</v>
      </c>
      <c r="Q3" s="4" t="s">
        <v>96</v>
      </c>
      <c r="R3" s="4" t="s">
        <v>587</v>
      </c>
    </row>
    <row r="4" spans="1:18">
      <c r="A4" s="4" t="s">
        <v>588</v>
      </c>
      <c r="B4" s="4" t="s">
        <v>218</v>
      </c>
      <c r="C4" s="4" t="s">
        <v>219</v>
      </c>
      <c r="D4" s="4" t="s">
        <v>559</v>
      </c>
      <c r="E4" s="5">
        <v>75000</v>
      </c>
      <c r="F4" s="5">
        <v>15000</v>
      </c>
      <c r="G4" s="9">
        <v>0.05</v>
      </c>
      <c r="H4" s="5">
        <f t="shared" si="0"/>
        <v>3750</v>
      </c>
      <c r="I4" s="5">
        <v>0</v>
      </c>
      <c r="J4" s="5">
        <v>2000</v>
      </c>
      <c r="K4" s="5">
        <v>0</v>
      </c>
      <c r="L4" s="5">
        <f t="shared" si="1"/>
        <v>5750</v>
      </c>
      <c r="M4" s="5">
        <f t="shared" si="2"/>
        <v>69250</v>
      </c>
      <c r="N4" s="4" t="s">
        <v>582</v>
      </c>
      <c r="O4" s="4" t="s">
        <v>186</v>
      </c>
      <c r="P4" s="7"/>
      <c r="Q4" s="4" t="s">
        <v>589</v>
      </c>
      <c r="R4" s="4" t="s">
        <v>590</v>
      </c>
    </row>
    <row r="5" spans="1:18">
      <c r="A5" s="4" t="s">
        <v>591</v>
      </c>
      <c r="B5" s="4" t="s">
        <v>190</v>
      </c>
      <c r="C5" s="4" t="s">
        <v>191</v>
      </c>
      <c r="D5" s="4" t="s">
        <v>559</v>
      </c>
      <c r="E5" s="5">
        <v>0</v>
      </c>
      <c r="F5" s="5">
        <v>0</v>
      </c>
      <c r="G5" s="9">
        <v>0.05</v>
      </c>
      <c r="H5" s="5">
        <f t="shared" si="0"/>
        <v>0</v>
      </c>
      <c r="I5" s="5">
        <v>0</v>
      </c>
      <c r="J5" s="5">
        <v>0</v>
      </c>
      <c r="K5" s="5">
        <v>0</v>
      </c>
      <c r="L5" s="5">
        <f t="shared" si="1"/>
        <v>0</v>
      </c>
      <c r="M5" s="5">
        <f t="shared" si="2"/>
        <v>0</v>
      </c>
      <c r="N5" s="4" t="s">
        <v>181</v>
      </c>
      <c r="O5" s="4" t="s">
        <v>186</v>
      </c>
      <c r="P5" s="7"/>
      <c r="Q5" s="4" t="s">
        <v>592</v>
      </c>
      <c r="R5" s="4" t="s">
        <v>593</v>
      </c>
    </row>
    <row r="6" spans="1:18">
      <c r="E6" s="6"/>
      <c r="F6" s="6"/>
      <c r="G6" s="10"/>
      <c r="H6" s="6">
        <f t="shared" si="0"/>
        <v>0</v>
      </c>
      <c r="I6" s="6"/>
      <c r="J6" s="6"/>
      <c r="K6" s="6"/>
      <c r="L6" s="6">
        <f t="shared" si="1"/>
        <v>0</v>
      </c>
      <c r="M6" s="6">
        <f t="shared" si="2"/>
        <v>0</v>
      </c>
      <c r="P6" s="8"/>
    </row>
    <row r="7" spans="1:18">
      <c r="E7" s="6"/>
      <c r="F7" s="6"/>
      <c r="G7" s="10"/>
      <c r="H7" s="6">
        <f t="shared" si="0"/>
        <v>0</v>
      </c>
      <c r="I7" s="6"/>
      <c r="J7" s="6"/>
      <c r="K7" s="6"/>
      <c r="L7" s="6">
        <f t="shared" si="1"/>
        <v>0</v>
      </c>
      <c r="M7" s="6">
        <f t="shared" si="2"/>
        <v>0</v>
      </c>
      <c r="P7" s="8"/>
    </row>
    <row r="8" spans="1:18">
      <c r="E8" s="6"/>
      <c r="F8" s="6"/>
      <c r="G8" s="10"/>
      <c r="H8" s="6">
        <f t="shared" si="0"/>
        <v>0</v>
      </c>
      <c r="I8" s="6"/>
      <c r="J8" s="6"/>
      <c r="K8" s="6"/>
      <c r="L8" s="6">
        <f t="shared" si="1"/>
        <v>0</v>
      </c>
      <c r="M8" s="6">
        <f t="shared" si="2"/>
        <v>0</v>
      </c>
      <c r="P8" s="8"/>
    </row>
    <row r="9" spans="1:18">
      <c r="E9" s="6"/>
      <c r="F9" s="6"/>
      <c r="G9" s="10"/>
      <c r="H9" s="6">
        <f t="shared" si="0"/>
        <v>0</v>
      </c>
      <c r="I9" s="6"/>
      <c r="J9" s="6"/>
      <c r="K9" s="6"/>
      <c r="L9" s="6">
        <f t="shared" si="1"/>
        <v>0</v>
      </c>
      <c r="M9" s="6">
        <f t="shared" si="2"/>
        <v>0</v>
      </c>
      <c r="P9" s="8"/>
    </row>
    <row r="10" spans="1:18">
      <c r="E10" s="6"/>
      <c r="F10" s="6"/>
      <c r="G10" s="10"/>
      <c r="H10" s="6">
        <f t="shared" si="0"/>
        <v>0</v>
      </c>
      <c r="I10" s="6"/>
      <c r="J10" s="6"/>
      <c r="K10" s="6"/>
      <c r="L10" s="6">
        <f t="shared" si="1"/>
        <v>0</v>
      </c>
      <c r="M10" s="6">
        <f t="shared" si="2"/>
        <v>0</v>
      </c>
      <c r="P10" s="8"/>
    </row>
    <row r="11" spans="1:18">
      <c r="E11" s="6"/>
      <c r="F11" s="6"/>
      <c r="G11" s="10"/>
      <c r="H11" s="6">
        <f t="shared" si="0"/>
        <v>0</v>
      </c>
      <c r="I11" s="6"/>
      <c r="J11" s="6"/>
      <c r="K11" s="6"/>
      <c r="L11" s="6">
        <f t="shared" si="1"/>
        <v>0</v>
      </c>
      <c r="M11" s="6">
        <f t="shared" si="2"/>
        <v>0</v>
      </c>
      <c r="P11" s="8"/>
    </row>
    <row r="12" spans="1:18">
      <c r="E12" s="6"/>
      <c r="F12" s="6"/>
      <c r="G12" s="10"/>
      <c r="H12" s="6">
        <f t="shared" si="0"/>
        <v>0</v>
      </c>
      <c r="I12" s="6"/>
      <c r="J12" s="6"/>
      <c r="K12" s="6"/>
      <c r="L12" s="6">
        <f t="shared" si="1"/>
        <v>0</v>
      </c>
      <c r="M12" s="6">
        <f t="shared" si="2"/>
        <v>0</v>
      </c>
      <c r="P12" s="8"/>
    </row>
    <row r="13" spans="1:18">
      <c r="E13" s="6"/>
      <c r="F13" s="6"/>
      <c r="G13" s="10"/>
      <c r="H13" s="6">
        <f t="shared" si="0"/>
        <v>0</v>
      </c>
      <c r="I13" s="6"/>
      <c r="J13" s="6"/>
      <c r="K13" s="6"/>
      <c r="L13" s="6">
        <f t="shared" si="1"/>
        <v>0</v>
      </c>
      <c r="M13" s="6">
        <f t="shared" si="2"/>
        <v>0</v>
      </c>
      <c r="P13" s="8"/>
    </row>
    <row r="14" spans="1:18">
      <c r="E14" s="6"/>
      <c r="F14" s="6"/>
      <c r="G14" s="10"/>
      <c r="H14" s="6">
        <f t="shared" si="0"/>
        <v>0</v>
      </c>
      <c r="I14" s="6"/>
      <c r="J14" s="6"/>
      <c r="K14" s="6"/>
      <c r="L14" s="6">
        <f t="shared" si="1"/>
        <v>0</v>
      </c>
      <c r="M14" s="6">
        <f t="shared" si="2"/>
        <v>0</v>
      </c>
      <c r="P14" s="8"/>
    </row>
    <row r="15" spans="1:18">
      <c r="E15" s="6"/>
      <c r="F15" s="6"/>
      <c r="G15" s="10"/>
      <c r="H15" s="6">
        <f t="shared" si="0"/>
        <v>0</v>
      </c>
      <c r="I15" s="6"/>
      <c r="J15" s="6"/>
      <c r="K15" s="6"/>
      <c r="L15" s="6">
        <f t="shared" si="1"/>
        <v>0</v>
      </c>
      <c r="M15" s="6">
        <f t="shared" si="2"/>
        <v>0</v>
      </c>
      <c r="P15" s="8"/>
    </row>
    <row r="16" spans="1:18">
      <c r="E16" s="6"/>
      <c r="F16" s="6"/>
      <c r="G16" s="10"/>
      <c r="H16" s="6">
        <f t="shared" si="0"/>
        <v>0</v>
      </c>
      <c r="I16" s="6"/>
      <c r="J16" s="6"/>
      <c r="K16" s="6"/>
      <c r="L16" s="6">
        <f t="shared" si="1"/>
        <v>0</v>
      </c>
      <c r="M16" s="6">
        <f t="shared" si="2"/>
        <v>0</v>
      </c>
      <c r="P16" s="8"/>
    </row>
    <row r="17" spans="5:16">
      <c r="E17" s="6"/>
      <c r="F17" s="6"/>
      <c r="G17" s="10"/>
      <c r="H17" s="6">
        <f t="shared" si="0"/>
        <v>0</v>
      </c>
      <c r="I17" s="6"/>
      <c r="J17" s="6"/>
      <c r="K17" s="6"/>
      <c r="L17" s="6">
        <f t="shared" si="1"/>
        <v>0</v>
      </c>
      <c r="M17" s="6">
        <f t="shared" si="2"/>
        <v>0</v>
      </c>
      <c r="P17" s="8"/>
    </row>
    <row r="18" spans="5:16">
      <c r="E18" s="6"/>
      <c r="F18" s="6"/>
      <c r="G18" s="10"/>
      <c r="H18" s="6">
        <f t="shared" si="0"/>
        <v>0</v>
      </c>
      <c r="I18" s="6"/>
      <c r="J18" s="6"/>
      <c r="K18" s="6"/>
      <c r="L18" s="6">
        <f t="shared" si="1"/>
        <v>0</v>
      </c>
      <c r="M18" s="6">
        <f t="shared" si="2"/>
        <v>0</v>
      </c>
      <c r="P18" s="8"/>
    </row>
    <row r="19" spans="5:16">
      <c r="E19" s="6"/>
      <c r="F19" s="6"/>
      <c r="G19" s="10"/>
      <c r="H19" s="6">
        <f t="shared" si="0"/>
        <v>0</v>
      </c>
      <c r="I19" s="6"/>
      <c r="J19" s="6"/>
      <c r="K19" s="6"/>
      <c r="L19" s="6">
        <f t="shared" si="1"/>
        <v>0</v>
      </c>
      <c r="M19" s="6">
        <f t="shared" si="2"/>
        <v>0</v>
      </c>
      <c r="P19" s="8"/>
    </row>
    <row r="20" spans="5:16">
      <c r="E20" s="6"/>
      <c r="F20" s="6"/>
      <c r="G20" s="10"/>
      <c r="H20" s="6">
        <f t="shared" si="0"/>
        <v>0</v>
      </c>
      <c r="I20" s="6"/>
      <c r="J20" s="6"/>
      <c r="K20" s="6"/>
      <c r="L20" s="6">
        <f t="shared" si="1"/>
        <v>0</v>
      </c>
      <c r="M20" s="6">
        <f t="shared" si="2"/>
        <v>0</v>
      </c>
      <c r="P20" s="8"/>
    </row>
    <row r="21" spans="5:16">
      <c r="E21" s="6"/>
      <c r="F21" s="6"/>
      <c r="G21" s="10"/>
      <c r="H21" s="6">
        <f t="shared" si="0"/>
        <v>0</v>
      </c>
      <c r="I21" s="6"/>
      <c r="J21" s="6"/>
      <c r="K21" s="6"/>
      <c r="L21" s="6">
        <f t="shared" si="1"/>
        <v>0</v>
      </c>
      <c r="M21" s="6">
        <f t="shared" si="2"/>
        <v>0</v>
      </c>
      <c r="P21" s="8"/>
    </row>
    <row r="22" spans="5:16">
      <c r="E22" s="6"/>
      <c r="F22" s="6"/>
      <c r="G22" s="10"/>
      <c r="H22" s="6">
        <f t="shared" si="0"/>
        <v>0</v>
      </c>
      <c r="I22" s="6"/>
      <c r="J22" s="6"/>
      <c r="K22" s="6"/>
      <c r="L22" s="6">
        <f t="shared" si="1"/>
        <v>0</v>
      </c>
      <c r="M22" s="6">
        <f t="shared" si="2"/>
        <v>0</v>
      </c>
      <c r="P22" s="8"/>
    </row>
    <row r="23" spans="5:16">
      <c r="E23" s="6"/>
      <c r="F23" s="6"/>
      <c r="G23" s="10"/>
      <c r="H23" s="6">
        <f t="shared" si="0"/>
        <v>0</v>
      </c>
      <c r="I23" s="6"/>
      <c r="J23" s="6"/>
      <c r="K23" s="6"/>
      <c r="L23" s="6">
        <f t="shared" si="1"/>
        <v>0</v>
      </c>
      <c r="M23" s="6">
        <f t="shared" si="2"/>
        <v>0</v>
      </c>
      <c r="P23" s="8"/>
    </row>
    <row r="24" spans="5:16">
      <c r="E24" s="6"/>
      <c r="F24" s="6"/>
      <c r="G24" s="10"/>
      <c r="H24" s="6">
        <f t="shared" si="0"/>
        <v>0</v>
      </c>
      <c r="I24" s="6"/>
      <c r="J24" s="6"/>
      <c r="K24" s="6"/>
      <c r="L24" s="6">
        <f t="shared" si="1"/>
        <v>0</v>
      </c>
      <c r="M24" s="6">
        <f t="shared" si="2"/>
        <v>0</v>
      </c>
      <c r="P24" s="8"/>
    </row>
    <row r="25" spans="5:16">
      <c r="E25" s="6"/>
      <c r="F25" s="6"/>
      <c r="G25" s="10"/>
      <c r="H25" s="6">
        <f t="shared" si="0"/>
        <v>0</v>
      </c>
      <c r="I25" s="6"/>
      <c r="J25" s="6"/>
      <c r="K25" s="6"/>
      <c r="L25" s="6">
        <f t="shared" si="1"/>
        <v>0</v>
      </c>
      <c r="M25" s="6">
        <f t="shared" si="2"/>
        <v>0</v>
      </c>
      <c r="P25" s="8"/>
    </row>
    <row r="26" spans="5:16">
      <c r="E26" s="6"/>
      <c r="F26" s="6"/>
      <c r="G26" s="10"/>
      <c r="H26" s="6">
        <f t="shared" si="0"/>
        <v>0</v>
      </c>
      <c r="I26" s="6"/>
      <c r="J26" s="6"/>
      <c r="K26" s="6"/>
      <c r="L26" s="6">
        <f t="shared" si="1"/>
        <v>0</v>
      </c>
      <c r="M26" s="6">
        <f t="shared" si="2"/>
        <v>0</v>
      </c>
      <c r="P26" s="8"/>
    </row>
    <row r="27" spans="5:16">
      <c r="E27" s="6"/>
      <c r="F27" s="6"/>
      <c r="G27" s="10"/>
      <c r="H27" s="6">
        <f t="shared" si="0"/>
        <v>0</v>
      </c>
      <c r="I27" s="6"/>
      <c r="J27" s="6"/>
      <c r="K27" s="6"/>
      <c r="L27" s="6">
        <f t="shared" si="1"/>
        <v>0</v>
      </c>
      <c r="M27" s="6">
        <f t="shared" si="2"/>
        <v>0</v>
      </c>
      <c r="P27" s="8"/>
    </row>
    <row r="28" spans="5:16">
      <c r="E28" s="6"/>
      <c r="F28" s="6"/>
      <c r="G28" s="10"/>
      <c r="H28" s="6">
        <f t="shared" si="0"/>
        <v>0</v>
      </c>
      <c r="I28" s="6"/>
      <c r="J28" s="6"/>
      <c r="K28" s="6"/>
      <c r="L28" s="6">
        <f t="shared" si="1"/>
        <v>0</v>
      </c>
      <c r="M28" s="6">
        <f t="shared" si="2"/>
        <v>0</v>
      </c>
      <c r="P28" s="8"/>
    </row>
    <row r="29" spans="5:16">
      <c r="E29" s="6"/>
      <c r="F29" s="6"/>
      <c r="G29" s="10"/>
      <c r="H29" s="6">
        <f t="shared" si="0"/>
        <v>0</v>
      </c>
      <c r="I29" s="6"/>
      <c r="J29" s="6"/>
      <c r="K29" s="6"/>
      <c r="L29" s="6">
        <f t="shared" si="1"/>
        <v>0</v>
      </c>
      <c r="M29" s="6">
        <f t="shared" si="2"/>
        <v>0</v>
      </c>
      <c r="P29" s="8"/>
    </row>
    <row r="30" spans="5:16">
      <c r="E30" s="6"/>
      <c r="F30" s="6"/>
      <c r="G30" s="10"/>
      <c r="H30" s="6">
        <f t="shared" si="0"/>
        <v>0</v>
      </c>
      <c r="I30" s="6"/>
      <c r="J30" s="6"/>
      <c r="K30" s="6"/>
      <c r="L30" s="6">
        <f t="shared" si="1"/>
        <v>0</v>
      </c>
      <c r="M30" s="6">
        <f t="shared" si="2"/>
        <v>0</v>
      </c>
      <c r="P30" s="8"/>
    </row>
    <row r="31" spans="5:16">
      <c r="E31" s="6"/>
      <c r="F31" s="6"/>
      <c r="G31" s="10"/>
      <c r="H31" s="6">
        <f t="shared" si="0"/>
        <v>0</v>
      </c>
      <c r="I31" s="6"/>
      <c r="J31" s="6"/>
      <c r="K31" s="6"/>
      <c r="L31" s="6">
        <f t="shared" si="1"/>
        <v>0</v>
      </c>
      <c r="M31" s="6">
        <f t="shared" si="2"/>
        <v>0</v>
      </c>
      <c r="P31" s="8"/>
    </row>
    <row r="32" spans="5:16">
      <c r="E32" s="6"/>
      <c r="F32" s="6"/>
      <c r="G32" s="10"/>
      <c r="H32" s="6">
        <f t="shared" si="0"/>
        <v>0</v>
      </c>
      <c r="I32" s="6"/>
      <c r="J32" s="6"/>
      <c r="K32" s="6"/>
      <c r="L32" s="6">
        <f t="shared" si="1"/>
        <v>0</v>
      </c>
      <c r="M32" s="6">
        <f t="shared" si="2"/>
        <v>0</v>
      </c>
      <c r="P32" s="8"/>
    </row>
    <row r="33" spans="5:16">
      <c r="E33" s="6"/>
      <c r="F33" s="6"/>
      <c r="G33" s="10"/>
      <c r="H33" s="6">
        <f t="shared" si="0"/>
        <v>0</v>
      </c>
      <c r="I33" s="6"/>
      <c r="J33" s="6"/>
      <c r="K33" s="6"/>
      <c r="L33" s="6">
        <f t="shared" si="1"/>
        <v>0</v>
      </c>
      <c r="M33" s="6">
        <f t="shared" si="2"/>
        <v>0</v>
      </c>
      <c r="P33" s="8"/>
    </row>
    <row r="34" spans="5:16">
      <c r="E34" s="6"/>
      <c r="F34" s="6"/>
      <c r="G34" s="10"/>
      <c r="H34" s="6">
        <f t="shared" ref="H34:H65" si="3">E34*G34</f>
        <v>0</v>
      </c>
      <c r="I34" s="6"/>
      <c r="J34" s="6"/>
      <c r="K34" s="6"/>
      <c r="L34" s="6">
        <f t="shared" ref="L34:L65" si="4">H34+I34+J34+K34</f>
        <v>0</v>
      </c>
      <c r="M34" s="6">
        <f t="shared" ref="M34:M65" si="5">E34-L34</f>
        <v>0</v>
      </c>
      <c r="P34" s="8"/>
    </row>
    <row r="35" spans="5:16">
      <c r="E35" s="6"/>
      <c r="F35" s="6"/>
      <c r="G35" s="10"/>
      <c r="H35" s="6">
        <f t="shared" si="3"/>
        <v>0</v>
      </c>
      <c r="I35" s="6"/>
      <c r="J35" s="6"/>
      <c r="K35" s="6"/>
      <c r="L35" s="6">
        <f t="shared" si="4"/>
        <v>0</v>
      </c>
      <c r="M35" s="6">
        <f t="shared" si="5"/>
        <v>0</v>
      </c>
      <c r="P35" s="8"/>
    </row>
    <row r="36" spans="5:16">
      <c r="E36" s="6"/>
      <c r="F36" s="6"/>
      <c r="G36" s="10"/>
      <c r="H36" s="6">
        <f t="shared" si="3"/>
        <v>0</v>
      </c>
      <c r="I36" s="6"/>
      <c r="J36" s="6"/>
      <c r="K36" s="6"/>
      <c r="L36" s="6">
        <f t="shared" si="4"/>
        <v>0</v>
      </c>
      <c r="M36" s="6">
        <f t="shared" si="5"/>
        <v>0</v>
      </c>
      <c r="P36" s="8"/>
    </row>
    <row r="37" spans="5:16">
      <c r="E37" s="6"/>
      <c r="F37" s="6"/>
      <c r="G37" s="10"/>
      <c r="H37" s="6">
        <f t="shared" si="3"/>
        <v>0</v>
      </c>
      <c r="I37" s="6"/>
      <c r="J37" s="6"/>
      <c r="K37" s="6"/>
      <c r="L37" s="6">
        <f t="shared" si="4"/>
        <v>0</v>
      </c>
      <c r="M37" s="6">
        <f t="shared" si="5"/>
        <v>0</v>
      </c>
      <c r="P37" s="8"/>
    </row>
    <row r="38" spans="5:16">
      <c r="E38" s="6"/>
      <c r="F38" s="6"/>
      <c r="G38" s="10"/>
      <c r="H38" s="6">
        <f t="shared" si="3"/>
        <v>0</v>
      </c>
      <c r="I38" s="6"/>
      <c r="J38" s="6"/>
      <c r="K38" s="6"/>
      <c r="L38" s="6">
        <f t="shared" si="4"/>
        <v>0</v>
      </c>
      <c r="M38" s="6">
        <f t="shared" si="5"/>
        <v>0</v>
      </c>
      <c r="P38" s="8"/>
    </row>
    <row r="39" spans="5:16">
      <c r="E39" s="6"/>
      <c r="F39" s="6"/>
      <c r="G39" s="10"/>
      <c r="H39" s="6">
        <f t="shared" si="3"/>
        <v>0</v>
      </c>
      <c r="I39" s="6"/>
      <c r="J39" s="6"/>
      <c r="K39" s="6"/>
      <c r="L39" s="6">
        <f t="shared" si="4"/>
        <v>0</v>
      </c>
      <c r="M39" s="6">
        <f t="shared" si="5"/>
        <v>0</v>
      </c>
      <c r="P39" s="8"/>
    </row>
    <row r="40" spans="5:16">
      <c r="E40" s="6"/>
      <c r="F40" s="6"/>
      <c r="G40" s="10"/>
      <c r="H40" s="6">
        <f t="shared" si="3"/>
        <v>0</v>
      </c>
      <c r="I40" s="6"/>
      <c r="J40" s="6"/>
      <c r="K40" s="6"/>
      <c r="L40" s="6">
        <f t="shared" si="4"/>
        <v>0</v>
      </c>
      <c r="M40" s="6">
        <f t="shared" si="5"/>
        <v>0</v>
      </c>
      <c r="P40" s="8"/>
    </row>
    <row r="41" spans="5:16">
      <c r="E41" s="6"/>
      <c r="F41" s="6"/>
      <c r="G41" s="10"/>
      <c r="H41" s="6">
        <f t="shared" si="3"/>
        <v>0</v>
      </c>
      <c r="I41" s="6"/>
      <c r="J41" s="6"/>
      <c r="K41" s="6"/>
      <c r="L41" s="6">
        <f t="shared" si="4"/>
        <v>0</v>
      </c>
      <c r="M41" s="6">
        <f t="shared" si="5"/>
        <v>0</v>
      </c>
      <c r="P41" s="8"/>
    </row>
    <row r="42" spans="5:16">
      <c r="E42" s="6"/>
      <c r="F42" s="6"/>
      <c r="G42" s="10"/>
      <c r="H42" s="6">
        <f t="shared" si="3"/>
        <v>0</v>
      </c>
      <c r="I42" s="6"/>
      <c r="J42" s="6"/>
      <c r="K42" s="6"/>
      <c r="L42" s="6">
        <f t="shared" si="4"/>
        <v>0</v>
      </c>
      <c r="M42" s="6">
        <f t="shared" si="5"/>
        <v>0</v>
      </c>
      <c r="P42" s="8"/>
    </row>
    <row r="43" spans="5:16">
      <c r="E43" s="6"/>
      <c r="F43" s="6"/>
      <c r="G43" s="10"/>
      <c r="H43" s="6">
        <f t="shared" si="3"/>
        <v>0</v>
      </c>
      <c r="I43" s="6"/>
      <c r="J43" s="6"/>
      <c r="K43" s="6"/>
      <c r="L43" s="6">
        <f t="shared" si="4"/>
        <v>0</v>
      </c>
      <c r="M43" s="6">
        <f t="shared" si="5"/>
        <v>0</v>
      </c>
      <c r="P43" s="8"/>
    </row>
    <row r="44" spans="5:16">
      <c r="E44" s="6"/>
      <c r="F44" s="6"/>
      <c r="G44" s="10"/>
      <c r="H44" s="6">
        <f t="shared" si="3"/>
        <v>0</v>
      </c>
      <c r="I44" s="6"/>
      <c r="J44" s="6"/>
      <c r="K44" s="6"/>
      <c r="L44" s="6">
        <f t="shared" si="4"/>
        <v>0</v>
      </c>
      <c r="M44" s="6">
        <f t="shared" si="5"/>
        <v>0</v>
      </c>
      <c r="P44" s="8"/>
    </row>
    <row r="45" spans="5:16">
      <c r="E45" s="6"/>
      <c r="F45" s="6"/>
      <c r="G45" s="10"/>
      <c r="H45" s="6">
        <f t="shared" si="3"/>
        <v>0</v>
      </c>
      <c r="I45" s="6"/>
      <c r="J45" s="6"/>
      <c r="K45" s="6"/>
      <c r="L45" s="6">
        <f t="shared" si="4"/>
        <v>0</v>
      </c>
      <c r="M45" s="6">
        <f t="shared" si="5"/>
        <v>0</v>
      </c>
      <c r="P45" s="8"/>
    </row>
    <row r="46" spans="5:16">
      <c r="E46" s="6"/>
      <c r="F46" s="6"/>
      <c r="G46" s="10"/>
      <c r="H46" s="6">
        <f t="shared" si="3"/>
        <v>0</v>
      </c>
      <c r="I46" s="6"/>
      <c r="J46" s="6"/>
      <c r="K46" s="6"/>
      <c r="L46" s="6">
        <f t="shared" si="4"/>
        <v>0</v>
      </c>
      <c r="M46" s="6">
        <f t="shared" si="5"/>
        <v>0</v>
      </c>
      <c r="P46" s="8"/>
    </row>
    <row r="47" spans="5:16">
      <c r="E47" s="6"/>
      <c r="F47" s="6"/>
      <c r="G47" s="10"/>
      <c r="H47" s="6">
        <f t="shared" si="3"/>
        <v>0</v>
      </c>
      <c r="I47" s="6"/>
      <c r="J47" s="6"/>
      <c r="K47" s="6"/>
      <c r="L47" s="6">
        <f t="shared" si="4"/>
        <v>0</v>
      </c>
      <c r="M47" s="6">
        <f t="shared" si="5"/>
        <v>0</v>
      </c>
      <c r="P47" s="8"/>
    </row>
    <row r="48" spans="5:16">
      <c r="E48" s="6"/>
      <c r="F48" s="6"/>
      <c r="G48" s="10"/>
      <c r="H48" s="6">
        <f t="shared" si="3"/>
        <v>0</v>
      </c>
      <c r="I48" s="6"/>
      <c r="J48" s="6"/>
      <c r="K48" s="6"/>
      <c r="L48" s="6">
        <f t="shared" si="4"/>
        <v>0</v>
      </c>
      <c r="M48" s="6">
        <f t="shared" si="5"/>
        <v>0</v>
      </c>
      <c r="P48" s="8"/>
    </row>
    <row r="49" spans="5:16">
      <c r="E49" s="6"/>
      <c r="F49" s="6"/>
      <c r="G49" s="10"/>
      <c r="H49" s="6">
        <f t="shared" si="3"/>
        <v>0</v>
      </c>
      <c r="I49" s="6"/>
      <c r="J49" s="6"/>
      <c r="K49" s="6"/>
      <c r="L49" s="6">
        <f t="shared" si="4"/>
        <v>0</v>
      </c>
      <c r="M49" s="6">
        <f t="shared" si="5"/>
        <v>0</v>
      </c>
      <c r="P49" s="8"/>
    </row>
    <row r="50" spans="5:16">
      <c r="E50" s="6"/>
      <c r="F50" s="6"/>
      <c r="G50" s="10"/>
      <c r="H50" s="6">
        <f t="shared" si="3"/>
        <v>0</v>
      </c>
      <c r="I50" s="6"/>
      <c r="J50" s="6"/>
      <c r="K50" s="6"/>
      <c r="L50" s="6">
        <f t="shared" si="4"/>
        <v>0</v>
      </c>
      <c r="M50" s="6">
        <f t="shared" si="5"/>
        <v>0</v>
      </c>
      <c r="P50" s="8"/>
    </row>
    <row r="51" spans="5:16">
      <c r="E51" s="6"/>
      <c r="F51" s="6"/>
      <c r="G51" s="10"/>
      <c r="H51" s="6">
        <f t="shared" si="3"/>
        <v>0</v>
      </c>
      <c r="I51" s="6"/>
      <c r="J51" s="6"/>
      <c r="K51" s="6"/>
      <c r="L51" s="6">
        <f t="shared" si="4"/>
        <v>0</v>
      </c>
      <c r="M51" s="6">
        <f t="shared" si="5"/>
        <v>0</v>
      </c>
      <c r="P51" s="8"/>
    </row>
    <row r="52" spans="5:16">
      <c r="E52" s="6"/>
      <c r="F52" s="6"/>
      <c r="G52" s="10"/>
      <c r="H52" s="6">
        <f t="shared" si="3"/>
        <v>0</v>
      </c>
      <c r="I52" s="6"/>
      <c r="J52" s="6"/>
      <c r="K52" s="6"/>
      <c r="L52" s="6">
        <f t="shared" si="4"/>
        <v>0</v>
      </c>
      <c r="M52" s="6">
        <f t="shared" si="5"/>
        <v>0</v>
      </c>
      <c r="P52" s="8"/>
    </row>
    <row r="53" spans="5:16">
      <c r="E53" s="6"/>
      <c r="F53" s="6"/>
      <c r="G53" s="10"/>
      <c r="H53" s="6">
        <f t="shared" si="3"/>
        <v>0</v>
      </c>
      <c r="I53" s="6"/>
      <c r="J53" s="6"/>
      <c r="K53" s="6"/>
      <c r="L53" s="6">
        <f t="shared" si="4"/>
        <v>0</v>
      </c>
      <c r="M53" s="6">
        <f t="shared" si="5"/>
        <v>0</v>
      </c>
      <c r="P53" s="8"/>
    </row>
    <row r="54" spans="5:16">
      <c r="E54" s="6"/>
      <c r="F54" s="6"/>
      <c r="G54" s="10"/>
      <c r="H54" s="6">
        <f t="shared" si="3"/>
        <v>0</v>
      </c>
      <c r="I54" s="6"/>
      <c r="J54" s="6"/>
      <c r="K54" s="6"/>
      <c r="L54" s="6">
        <f t="shared" si="4"/>
        <v>0</v>
      </c>
      <c r="M54" s="6">
        <f t="shared" si="5"/>
        <v>0</v>
      </c>
      <c r="P54" s="8"/>
    </row>
    <row r="55" spans="5:16">
      <c r="E55" s="6"/>
      <c r="F55" s="6"/>
      <c r="G55" s="10"/>
      <c r="H55" s="6">
        <f t="shared" si="3"/>
        <v>0</v>
      </c>
      <c r="I55" s="6"/>
      <c r="J55" s="6"/>
      <c r="K55" s="6"/>
      <c r="L55" s="6">
        <f t="shared" si="4"/>
        <v>0</v>
      </c>
      <c r="M55" s="6">
        <f t="shared" si="5"/>
        <v>0</v>
      </c>
      <c r="P55" s="8"/>
    </row>
    <row r="56" spans="5:16">
      <c r="E56" s="6"/>
      <c r="F56" s="6"/>
      <c r="G56" s="10"/>
      <c r="H56" s="6">
        <f t="shared" si="3"/>
        <v>0</v>
      </c>
      <c r="I56" s="6"/>
      <c r="J56" s="6"/>
      <c r="K56" s="6"/>
      <c r="L56" s="6">
        <f t="shared" si="4"/>
        <v>0</v>
      </c>
      <c r="M56" s="6">
        <f t="shared" si="5"/>
        <v>0</v>
      </c>
      <c r="P56" s="8"/>
    </row>
    <row r="57" spans="5:16">
      <c r="E57" s="6"/>
      <c r="F57" s="6"/>
      <c r="G57" s="10"/>
      <c r="H57" s="6">
        <f t="shared" si="3"/>
        <v>0</v>
      </c>
      <c r="I57" s="6"/>
      <c r="J57" s="6"/>
      <c r="K57" s="6"/>
      <c r="L57" s="6">
        <f t="shared" si="4"/>
        <v>0</v>
      </c>
      <c r="M57" s="6">
        <f t="shared" si="5"/>
        <v>0</v>
      </c>
      <c r="P57" s="8"/>
    </row>
    <row r="58" spans="5:16">
      <c r="E58" s="6"/>
      <c r="F58" s="6"/>
      <c r="G58" s="10"/>
      <c r="H58" s="6">
        <f t="shared" si="3"/>
        <v>0</v>
      </c>
      <c r="I58" s="6"/>
      <c r="J58" s="6"/>
      <c r="K58" s="6"/>
      <c r="L58" s="6">
        <f t="shared" si="4"/>
        <v>0</v>
      </c>
      <c r="M58" s="6">
        <f t="shared" si="5"/>
        <v>0</v>
      </c>
      <c r="P58" s="8"/>
    </row>
    <row r="59" spans="5:16">
      <c r="E59" s="6"/>
      <c r="F59" s="6"/>
      <c r="G59" s="10"/>
      <c r="H59" s="6">
        <f t="shared" si="3"/>
        <v>0</v>
      </c>
      <c r="I59" s="6"/>
      <c r="J59" s="6"/>
      <c r="K59" s="6"/>
      <c r="L59" s="6">
        <f t="shared" si="4"/>
        <v>0</v>
      </c>
      <c r="M59" s="6">
        <f t="shared" si="5"/>
        <v>0</v>
      </c>
      <c r="P59" s="8"/>
    </row>
    <row r="60" spans="5:16">
      <c r="E60" s="6"/>
      <c r="F60" s="6"/>
      <c r="G60" s="10"/>
      <c r="H60" s="6">
        <f t="shared" si="3"/>
        <v>0</v>
      </c>
      <c r="I60" s="6"/>
      <c r="J60" s="6"/>
      <c r="K60" s="6"/>
      <c r="L60" s="6">
        <f t="shared" si="4"/>
        <v>0</v>
      </c>
      <c r="M60" s="6">
        <f t="shared" si="5"/>
        <v>0</v>
      </c>
      <c r="P60" s="8"/>
    </row>
    <row r="61" spans="5:16">
      <c r="E61" s="6"/>
      <c r="F61" s="6"/>
      <c r="G61" s="10"/>
      <c r="H61" s="6">
        <f t="shared" si="3"/>
        <v>0</v>
      </c>
      <c r="I61" s="6"/>
      <c r="J61" s="6"/>
      <c r="K61" s="6"/>
      <c r="L61" s="6">
        <f t="shared" si="4"/>
        <v>0</v>
      </c>
      <c r="M61" s="6">
        <f t="shared" si="5"/>
        <v>0</v>
      </c>
      <c r="P61" s="8"/>
    </row>
    <row r="62" spans="5:16">
      <c r="E62" s="6"/>
      <c r="F62" s="6"/>
      <c r="G62" s="10"/>
      <c r="H62" s="6">
        <f t="shared" si="3"/>
        <v>0</v>
      </c>
      <c r="I62" s="6"/>
      <c r="J62" s="6"/>
      <c r="K62" s="6"/>
      <c r="L62" s="6">
        <f t="shared" si="4"/>
        <v>0</v>
      </c>
      <c r="M62" s="6">
        <f t="shared" si="5"/>
        <v>0</v>
      </c>
      <c r="P62" s="8"/>
    </row>
    <row r="63" spans="5:16">
      <c r="E63" s="6"/>
      <c r="F63" s="6"/>
      <c r="G63" s="10"/>
      <c r="H63" s="6">
        <f t="shared" si="3"/>
        <v>0</v>
      </c>
      <c r="I63" s="6"/>
      <c r="J63" s="6"/>
      <c r="K63" s="6"/>
      <c r="L63" s="6">
        <f t="shared" si="4"/>
        <v>0</v>
      </c>
      <c r="M63" s="6">
        <f t="shared" si="5"/>
        <v>0</v>
      </c>
      <c r="P63" s="8"/>
    </row>
    <row r="64" spans="5:16">
      <c r="E64" s="6"/>
      <c r="F64" s="6"/>
      <c r="G64" s="10"/>
      <c r="H64" s="6">
        <f t="shared" si="3"/>
        <v>0</v>
      </c>
      <c r="I64" s="6"/>
      <c r="J64" s="6"/>
      <c r="K64" s="6"/>
      <c r="L64" s="6">
        <f t="shared" si="4"/>
        <v>0</v>
      </c>
      <c r="M64" s="6">
        <f t="shared" si="5"/>
        <v>0</v>
      </c>
      <c r="P64" s="8"/>
    </row>
    <row r="65" spans="5:16">
      <c r="E65" s="6"/>
      <c r="F65" s="6"/>
      <c r="G65" s="10"/>
      <c r="H65" s="6">
        <f t="shared" si="3"/>
        <v>0</v>
      </c>
      <c r="I65" s="6"/>
      <c r="J65" s="6"/>
      <c r="K65" s="6"/>
      <c r="L65" s="6">
        <f t="shared" si="4"/>
        <v>0</v>
      </c>
      <c r="M65" s="6">
        <f t="shared" si="5"/>
        <v>0</v>
      </c>
      <c r="P65" s="8"/>
    </row>
    <row r="66" spans="5:16">
      <c r="E66" s="6"/>
      <c r="F66" s="6"/>
      <c r="G66" s="10"/>
      <c r="H66" s="6">
        <f t="shared" ref="H66:H97" si="6">E66*G66</f>
        <v>0</v>
      </c>
      <c r="I66" s="6"/>
      <c r="J66" s="6"/>
      <c r="K66" s="6"/>
      <c r="L66" s="6">
        <f t="shared" ref="L66:L97" si="7">H66+I66+J66+K66</f>
        <v>0</v>
      </c>
      <c r="M66" s="6">
        <f t="shared" ref="M66:M97" si="8">E66-L66</f>
        <v>0</v>
      </c>
      <c r="P66" s="8"/>
    </row>
    <row r="67" spans="5:16">
      <c r="E67" s="6"/>
      <c r="F67" s="6"/>
      <c r="G67" s="10"/>
      <c r="H67" s="6">
        <f t="shared" si="6"/>
        <v>0</v>
      </c>
      <c r="I67" s="6"/>
      <c r="J67" s="6"/>
      <c r="K67" s="6"/>
      <c r="L67" s="6">
        <f t="shared" si="7"/>
        <v>0</v>
      </c>
      <c r="M67" s="6">
        <f t="shared" si="8"/>
        <v>0</v>
      </c>
      <c r="P67" s="8"/>
    </row>
    <row r="68" spans="5:16">
      <c r="E68" s="6"/>
      <c r="F68" s="6"/>
      <c r="G68" s="10"/>
      <c r="H68" s="6">
        <f t="shared" si="6"/>
        <v>0</v>
      </c>
      <c r="I68" s="6"/>
      <c r="J68" s="6"/>
      <c r="K68" s="6"/>
      <c r="L68" s="6">
        <f t="shared" si="7"/>
        <v>0</v>
      </c>
      <c r="M68" s="6">
        <f t="shared" si="8"/>
        <v>0</v>
      </c>
      <c r="P68" s="8"/>
    </row>
    <row r="69" spans="5:16">
      <c r="E69" s="6"/>
      <c r="F69" s="6"/>
      <c r="G69" s="10"/>
      <c r="H69" s="6">
        <f t="shared" si="6"/>
        <v>0</v>
      </c>
      <c r="I69" s="6"/>
      <c r="J69" s="6"/>
      <c r="K69" s="6"/>
      <c r="L69" s="6">
        <f t="shared" si="7"/>
        <v>0</v>
      </c>
      <c r="M69" s="6">
        <f t="shared" si="8"/>
        <v>0</v>
      </c>
      <c r="P69" s="8"/>
    </row>
    <row r="70" spans="5:16">
      <c r="E70" s="6"/>
      <c r="F70" s="6"/>
      <c r="G70" s="10"/>
      <c r="H70" s="6">
        <f t="shared" si="6"/>
        <v>0</v>
      </c>
      <c r="I70" s="6"/>
      <c r="J70" s="6"/>
      <c r="K70" s="6"/>
      <c r="L70" s="6">
        <f t="shared" si="7"/>
        <v>0</v>
      </c>
      <c r="M70" s="6">
        <f t="shared" si="8"/>
        <v>0</v>
      </c>
      <c r="P70" s="8"/>
    </row>
    <row r="71" spans="5:16">
      <c r="E71" s="6"/>
      <c r="F71" s="6"/>
      <c r="G71" s="10"/>
      <c r="H71" s="6">
        <f t="shared" si="6"/>
        <v>0</v>
      </c>
      <c r="I71" s="6"/>
      <c r="J71" s="6"/>
      <c r="K71" s="6"/>
      <c r="L71" s="6">
        <f t="shared" si="7"/>
        <v>0</v>
      </c>
      <c r="M71" s="6">
        <f t="shared" si="8"/>
        <v>0</v>
      </c>
      <c r="P71" s="8"/>
    </row>
    <row r="72" spans="5:16">
      <c r="E72" s="6"/>
      <c r="F72" s="6"/>
      <c r="G72" s="10"/>
      <c r="H72" s="6">
        <f t="shared" si="6"/>
        <v>0</v>
      </c>
      <c r="I72" s="6"/>
      <c r="J72" s="6"/>
      <c r="K72" s="6"/>
      <c r="L72" s="6">
        <f t="shared" si="7"/>
        <v>0</v>
      </c>
      <c r="M72" s="6">
        <f t="shared" si="8"/>
        <v>0</v>
      </c>
      <c r="P72" s="8"/>
    </row>
    <row r="73" spans="5:16">
      <c r="E73" s="6"/>
      <c r="F73" s="6"/>
      <c r="G73" s="10"/>
      <c r="H73" s="6">
        <f t="shared" si="6"/>
        <v>0</v>
      </c>
      <c r="I73" s="6"/>
      <c r="J73" s="6"/>
      <c r="K73" s="6"/>
      <c r="L73" s="6">
        <f t="shared" si="7"/>
        <v>0</v>
      </c>
      <c r="M73" s="6">
        <f t="shared" si="8"/>
        <v>0</v>
      </c>
      <c r="P73" s="8"/>
    </row>
    <row r="74" spans="5:16">
      <c r="E74" s="6"/>
      <c r="F74" s="6"/>
      <c r="G74" s="10"/>
      <c r="H74" s="6">
        <f t="shared" si="6"/>
        <v>0</v>
      </c>
      <c r="I74" s="6"/>
      <c r="J74" s="6"/>
      <c r="K74" s="6"/>
      <c r="L74" s="6">
        <f t="shared" si="7"/>
        <v>0</v>
      </c>
      <c r="M74" s="6">
        <f t="shared" si="8"/>
        <v>0</v>
      </c>
      <c r="P74" s="8"/>
    </row>
    <row r="75" spans="5:16">
      <c r="E75" s="6"/>
      <c r="F75" s="6"/>
      <c r="G75" s="10"/>
      <c r="H75" s="6">
        <f t="shared" si="6"/>
        <v>0</v>
      </c>
      <c r="I75" s="6"/>
      <c r="J75" s="6"/>
      <c r="K75" s="6"/>
      <c r="L75" s="6">
        <f t="shared" si="7"/>
        <v>0</v>
      </c>
      <c r="M75" s="6">
        <f t="shared" si="8"/>
        <v>0</v>
      </c>
      <c r="P75" s="8"/>
    </row>
    <row r="76" spans="5:16">
      <c r="E76" s="6"/>
      <c r="F76" s="6"/>
      <c r="G76" s="10"/>
      <c r="H76" s="6">
        <f t="shared" si="6"/>
        <v>0</v>
      </c>
      <c r="I76" s="6"/>
      <c r="J76" s="6"/>
      <c r="K76" s="6"/>
      <c r="L76" s="6">
        <f t="shared" si="7"/>
        <v>0</v>
      </c>
      <c r="M76" s="6">
        <f t="shared" si="8"/>
        <v>0</v>
      </c>
      <c r="P76" s="8"/>
    </row>
    <row r="77" spans="5:16">
      <c r="E77" s="6"/>
      <c r="F77" s="6"/>
      <c r="G77" s="10"/>
      <c r="H77" s="6">
        <f t="shared" si="6"/>
        <v>0</v>
      </c>
      <c r="I77" s="6"/>
      <c r="J77" s="6"/>
      <c r="K77" s="6"/>
      <c r="L77" s="6">
        <f t="shared" si="7"/>
        <v>0</v>
      </c>
      <c r="M77" s="6">
        <f t="shared" si="8"/>
        <v>0</v>
      </c>
      <c r="P77" s="8"/>
    </row>
    <row r="78" spans="5:16">
      <c r="E78" s="6"/>
      <c r="F78" s="6"/>
      <c r="G78" s="10"/>
      <c r="H78" s="6">
        <f t="shared" si="6"/>
        <v>0</v>
      </c>
      <c r="I78" s="6"/>
      <c r="J78" s="6"/>
      <c r="K78" s="6"/>
      <c r="L78" s="6">
        <f t="shared" si="7"/>
        <v>0</v>
      </c>
      <c r="M78" s="6">
        <f t="shared" si="8"/>
        <v>0</v>
      </c>
      <c r="P78" s="8"/>
    </row>
    <row r="79" spans="5:16">
      <c r="E79" s="6"/>
      <c r="F79" s="6"/>
      <c r="G79" s="10"/>
      <c r="H79" s="6">
        <f t="shared" si="6"/>
        <v>0</v>
      </c>
      <c r="I79" s="6"/>
      <c r="J79" s="6"/>
      <c r="K79" s="6"/>
      <c r="L79" s="6">
        <f t="shared" si="7"/>
        <v>0</v>
      </c>
      <c r="M79" s="6">
        <f t="shared" si="8"/>
        <v>0</v>
      </c>
      <c r="P79" s="8"/>
    </row>
    <row r="80" spans="5:16">
      <c r="E80" s="6"/>
      <c r="F80" s="6"/>
      <c r="G80" s="10"/>
      <c r="H80" s="6">
        <f t="shared" si="6"/>
        <v>0</v>
      </c>
      <c r="I80" s="6"/>
      <c r="J80" s="6"/>
      <c r="K80" s="6"/>
      <c r="L80" s="6">
        <f t="shared" si="7"/>
        <v>0</v>
      </c>
      <c r="M80" s="6">
        <f t="shared" si="8"/>
        <v>0</v>
      </c>
      <c r="P80" s="8"/>
    </row>
    <row r="81" spans="5:16">
      <c r="E81" s="6"/>
      <c r="F81" s="6"/>
      <c r="G81" s="10"/>
      <c r="H81" s="6">
        <f t="shared" si="6"/>
        <v>0</v>
      </c>
      <c r="I81" s="6"/>
      <c r="J81" s="6"/>
      <c r="K81" s="6"/>
      <c r="L81" s="6">
        <f t="shared" si="7"/>
        <v>0</v>
      </c>
      <c r="M81" s="6">
        <f t="shared" si="8"/>
        <v>0</v>
      </c>
      <c r="P81" s="8"/>
    </row>
    <row r="82" spans="5:16">
      <c r="E82" s="6"/>
      <c r="F82" s="6"/>
      <c r="G82" s="10"/>
      <c r="H82" s="6">
        <f t="shared" si="6"/>
        <v>0</v>
      </c>
      <c r="I82" s="6"/>
      <c r="J82" s="6"/>
      <c r="K82" s="6"/>
      <c r="L82" s="6">
        <f t="shared" si="7"/>
        <v>0</v>
      </c>
      <c r="M82" s="6">
        <f t="shared" si="8"/>
        <v>0</v>
      </c>
      <c r="P82" s="8"/>
    </row>
    <row r="83" spans="5:16">
      <c r="E83" s="6"/>
      <c r="F83" s="6"/>
      <c r="G83" s="10"/>
      <c r="H83" s="6">
        <f t="shared" si="6"/>
        <v>0</v>
      </c>
      <c r="I83" s="6"/>
      <c r="J83" s="6"/>
      <c r="K83" s="6"/>
      <c r="L83" s="6">
        <f t="shared" si="7"/>
        <v>0</v>
      </c>
      <c r="M83" s="6">
        <f t="shared" si="8"/>
        <v>0</v>
      </c>
      <c r="P83" s="8"/>
    </row>
    <row r="84" spans="5:16">
      <c r="E84" s="6"/>
      <c r="F84" s="6"/>
      <c r="G84" s="10"/>
      <c r="H84" s="6">
        <f t="shared" si="6"/>
        <v>0</v>
      </c>
      <c r="I84" s="6"/>
      <c r="J84" s="6"/>
      <c r="K84" s="6"/>
      <c r="L84" s="6">
        <f t="shared" si="7"/>
        <v>0</v>
      </c>
      <c r="M84" s="6">
        <f t="shared" si="8"/>
        <v>0</v>
      </c>
      <c r="P84" s="8"/>
    </row>
    <row r="85" spans="5:16">
      <c r="E85" s="6"/>
      <c r="F85" s="6"/>
      <c r="G85" s="10"/>
      <c r="H85" s="6">
        <f t="shared" si="6"/>
        <v>0</v>
      </c>
      <c r="I85" s="6"/>
      <c r="J85" s="6"/>
      <c r="K85" s="6"/>
      <c r="L85" s="6">
        <f t="shared" si="7"/>
        <v>0</v>
      </c>
      <c r="M85" s="6">
        <f t="shared" si="8"/>
        <v>0</v>
      </c>
      <c r="P85" s="8"/>
    </row>
    <row r="86" spans="5:16">
      <c r="E86" s="6"/>
      <c r="F86" s="6"/>
      <c r="G86" s="10"/>
      <c r="H86" s="6">
        <f t="shared" si="6"/>
        <v>0</v>
      </c>
      <c r="I86" s="6"/>
      <c r="J86" s="6"/>
      <c r="K86" s="6"/>
      <c r="L86" s="6">
        <f t="shared" si="7"/>
        <v>0</v>
      </c>
      <c r="M86" s="6">
        <f t="shared" si="8"/>
        <v>0</v>
      </c>
      <c r="P86" s="8"/>
    </row>
    <row r="87" spans="5:16">
      <c r="E87" s="6"/>
      <c r="F87" s="6"/>
      <c r="G87" s="10"/>
      <c r="H87" s="6">
        <f t="shared" si="6"/>
        <v>0</v>
      </c>
      <c r="I87" s="6"/>
      <c r="J87" s="6"/>
      <c r="K87" s="6"/>
      <c r="L87" s="6">
        <f t="shared" si="7"/>
        <v>0</v>
      </c>
      <c r="M87" s="6">
        <f t="shared" si="8"/>
        <v>0</v>
      </c>
      <c r="P87" s="8"/>
    </row>
    <row r="88" spans="5:16">
      <c r="E88" s="6"/>
      <c r="F88" s="6"/>
      <c r="G88" s="10"/>
      <c r="H88" s="6">
        <f t="shared" si="6"/>
        <v>0</v>
      </c>
      <c r="I88" s="6"/>
      <c r="J88" s="6"/>
      <c r="K88" s="6"/>
      <c r="L88" s="6">
        <f t="shared" si="7"/>
        <v>0</v>
      </c>
      <c r="M88" s="6">
        <f t="shared" si="8"/>
        <v>0</v>
      </c>
      <c r="P88" s="8"/>
    </row>
    <row r="89" spans="5:16">
      <c r="E89" s="6"/>
      <c r="F89" s="6"/>
      <c r="G89" s="10"/>
      <c r="H89" s="6">
        <f t="shared" si="6"/>
        <v>0</v>
      </c>
      <c r="I89" s="6"/>
      <c r="J89" s="6"/>
      <c r="K89" s="6"/>
      <c r="L89" s="6">
        <f t="shared" si="7"/>
        <v>0</v>
      </c>
      <c r="M89" s="6">
        <f t="shared" si="8"/>
        <v>0</v>
      </c>
      <c r="P89" s="8"/>
    </row>
    <row r="90" spans="5:16">
      <c r="E90" s="6"/>
      <c r="F90" s="6"/>
      <c r="G90" s="10"/>
      <c r="H90" s="6">
        <f t="shared" si="6"/>
        <v>0</v>
      </c>
      <c r="I90" s="6"/>
      <c r="J90" s="6"/>
      <c r="K90" s="6"/>
      <c r="L90" s="6">
        <f t="shared" si="7"/>
        <v>0</v>
      </c>
      <c r="M90" s="6">
        <f t="shared" si="8"/>
        <v>0</v>
      </c>
      <c r="P90" s="8"/>
    </row>
    <row r="91" spans="5:16">
      <c r="E91" s="6"/>
      <c r="F91" s="6"/>
      <c r="G91" s="10"/>
      <c r="H91" s="6">
        <f t="shared" si="6"/>
        <v>0</v>
      </c>
      <c r="I91" s="6"/>
      <c r="J91" s="6"/>
      <c r="K91" s="6"/>
      <c r="L91" s="6">
        <f t="shared" si="7"/>
        <v>0</v>
      </c>
      <c r="M91" s="6">
        <f t="shared" si="8"/>
        <v>0</v>
      </c>
      <c r="P91" s="8"/>
    </row>
    <row r="92" spans="5:16">
      <c r="E92" s="6"/>
      <c r="F92" s="6"/>
      <c r="G92" s="10"/>
      <c r="H92" s="6">
        <f t="shared" si="6"/>
        <v>0</v>
      </c>
      <c r="I92" s="6"/>
      <c r="J92" s="6"/>
      <c r="K92" s="6"/>
      <c r="L92" s="6">
        <f t="shared" si="7"/>
        <v>0</v>
      </c>
      <c r="M92" s="6">
        <f t="shared" si="8"/>
        <v>0</v>
      </c>
      <c r="P92" s="8"/>
    </row>
    <row r="93" spans="5:16">
      <c r="E93" s="6"/>
      <c r="F93" s="6"/>
      <c r="G93" s="10"/>
      <c r="H93" s="6">
        <f t="shared" si="6"/>
        <v>0</v>
      </c>
      <c r="I93" s="6"/>
      <c r="J93" s="6"/>
      <c r="K93" s="6"/>
      <c r="L93" s="6">
        <f t="shared" si="7"/>
        <v>0</v>
      </c>
      <c r="M93" s="6">
        <f t="shared" si="8"/>
        <v>0</v>
      </c>
      <c r="P93" s="8"/>
    </row>
    <row r="94" spans="5:16">
      <c r="E94" s="6"/>
      <c r="F94" s="6"/>
      <c r="G94" s="10"/>
      <c r="H94" s="6">
        <f t="shared" si="6"/>
        <v>0</v>
      </c>
      <c r="I94" s="6"/>
      <c r="J94" s="6"/>
      <c r="K94" s="6"/>
      <c r="L94" s="6">
        <f t="shared" si="7"/>
        <v>0</v>
      </c>
      <c r="M94" s="6">
        <f t="shared" si="8"/>
        <v>0</v>
      </c>
      <c r="P94" s="8"/>
    </row>
    <row r="95" spans="5:16">
      <c r="E95" s="6"/>
      <c r="F95" s="6"/>
      <c r="G95" s="10"/>
      <c r="H95" s="6">
        <f t="shared" si="6"/>
        <v>0</v>
      </c>
      <c r="I95" s="6"/>
      <c r="J95" s="6"/>
      <c r="K95" s="6"/>
      <c r="L95" s="6">
        <f t="shared" si="7"/>
        <v>0</v>
      </c>
      <c r="M95" s="6">
        <f t="shared" si="8"/>
        <v>0</v>
      </c>
      <c r="P95" s="8"/>
    </row>
    <row r="96" spans="5:16">
      <c r="E96" s="6"/>
      <c r="F96" s="6"/>
      <c r="G96" s="10"/>
      <c r="H96" s="6">
        <f t="shared" si="6"/>
        <v>0</v>
      </c>
      <c r="I96" s="6"/>
      <c r="J96" s="6"/>
      <c r="K96" s="6"/>
      <c r="L96" s="6">
        <f t="shared" si="7"/>
        <v>0</v>
      </c>
      <c r="M96" s="6">
        <f t="shared" si="8"/>
        <v>0</v>
      </c>
      <c r="P96" s="8"/>
    </row>
    <row r="97" spans="5:16">
      <c r="E97" s="6"/>
      <c r="F97" s="6"/>
      <c r="G97" s="10"/>
      <c r="H97" s="6">
        <f t="shared" si="6"/>
        <v>0</v>
      </c>
      <c r="I97" s="6"/>
      <c r="J97" s="6"/>
      <c r="K97" s="6"/>
      <c r="L97" s="6">
        <f t="shared" si="7"/>
        <v>0</v>
      </c>
      <c r="M97" s="6">
        <f t="shared" si="8"/>
        <v>0</v>
      </c>
      <c r="P97" s="8"/>
    </row>
    <row r="98" spans="5:16">
      <c r="E98" s="6"/>
      <c r="F98" s="6"/>
      <c r="G98" s="10"/>
      <c r="H98" s="6">
        <f t="shared" ref="H98:H129" si="9">E98*G98</f>
        <v>0</v>
      </c>
      <c r="I98" s="6"/>
      <c r="J98" s="6"/>
      <c r="K98" s="6"/>
      <c r="L98" s="6">
        <f t="shared" ref="L98:L129" si="10">H98+I98+J98+K98</f>
        <v>0</v>
      </c>
      <c r="M98" s="6">
        <f t="shared" ref="M98:M129" si="11">E98-L98</f>
        <v>0</v>
      </c>
      <c r="P98" s="8"/>
    </row>
    <row r="99" spans="5:16">
      <c r="E99" s="6"/>
      <c r="F99" s="6"/>
      <c r="G99" s="10"/>
      <c r="H99" s="6">
        <f t="shared" si="9"/>
        <v>0</v>
      </c>
      <c r="I99" s="6"/>
      <c r="J99" s="6"/>
      <c r="K99" s="6"/>
      <c r="L99" s="6">
        <f t="shared" si="10"/>
        <v>0</v>
      </c>
      <c r="M99" s="6">
        <f t="shared" si="11"/>
        <v>0</v>
      </c>
      <c r="P99" s="8"/>
    </row>
    <row r="100" spans="5:16">
      <c r="E100" s="6"/>
      <c r="F100" s="6"/>
      <c r="G100" s="10"/>
      <c r="H100" s="6">
        <f t="shared" si="9"/>
        <v>0</v>
      </c>
      <c r="I100" s="6"/>
      <c r="J100" s="6"/>
      <c r="K100" s="6"/>
      <c r="L100" s="6">
        <f t="shared" si="10"/>
        <v>0</v>
      </c>
      <c r="M100" s="6">
        <f t="shared" si="11"/>
        <v>0</v>
      </c>
      <c r="P100" s="8"/>
    </row>
    <row r="101" spans="5:16">
      <c r="E101" s="6"/>
      <c r="F101" s="6"/>
      <c r="G101" s="10"/>
      <c r="H101" s="6">
        <f t="shared" si="9"/>
        <v>0</v>
      </c>
      <c r="I101" s="6"/>
      <c r="J101" s="6"/>
      <c r="K101" s="6"/>
      <c r="L101" s="6">
        <f t="shared" si="10"/>
        <v>0</v>
      </c>
      <c r="M101" s="6">
        <f t="shared" si="11"/>
        <v>0</v>
      </c>
      <c r="P101" s="8"/>
    </row>
    <row r="102" spans="5:16">
      <c r="E102" s="6"/>
      <c r="F102" s="6"/>
      <c r="G102" s="10"/>
      <c r="H102" s="6">
        <f t="shared" si="9"/>
        <v>0</v>
      </c>
      <c r="I102" s="6"/>
      <c r="J102" s="6"/>
      <c r="K102" s="6"/>
      <c r="L102" s="6">
        <f t="shared" si="10"/>
        <v>0</v>
      </c>
      <c r="M102" s="6">
        <f t="shared" si="11"/>
        <v>0</v>
      </c>
      <c r="P102" s="8"/>
    </row>
    <row r="103" spans="5:16">
      <c r="E103" s="6"/>
      <c r="F103" s="6"/>
      <c r="G103" s="10"/>
      <c r="H103" s="6">
        <f t="shared" si="9"/>
        <v>0</v>
      </c>
      <c r="I103" s="6"/>
      <c r="J103" s="6"/>
      <c r="K103" s="6"/>
      <c r="L103" s="6">
        <f t="shared" si="10"/>
        <v>0</v>
      </c>
      <c r="M103" s="6">
        <f t="shared" si="11"/>
        <v>0</v>
      </c>
      <c r="P103" s="8"/>
    </row>
    <row r="104" spans="5:16">
      <c r="E104" s="6"/>
      <c r="F104" s="6"/>
      <c r="G104" s="10"/>
      <c r="H104" s="6">
        <f t="shared" si="9"/>
        <v>0</v>
      </c>
      <c r="I104" s="6"/>
      <c r="J104" s="6"/>
      <c r="K104" s="6"/>
      <c r="L104" s="6">
        <f t="shared" si="10"/>
        <v>0</v>
      </c>
      <c r="M104" s="6">
        <f t="shared" si="11"/>
        <v>0</v>
      </c>
      <c r="P104" s="8"/>
    </row>
    <row r="105" spans="5:16">
      <c r="E105" s="6"/>
      <c r="F105" s="6"/>
      <c r="G105" s="10"/>
      <c r="H105" s="6">
        <f t="shared" si="9"/>
        <v>0</v>
      </c>
      <c r="I105" s="6"/>
      <c r="J105" s="6"/>
      <c r="K105" s="6"/>
      <c r="L105" s="6">
        <f t="shared" si="10"/>
        <v>0</v>
      </c>
      <c r="M105" s="6">
        <f t="shared" si="11"/>
        <v>0</v>
      </c>
      <c r="P105" s="8"/>
    </row>
    <row r="106" spans="5:16">
      <c r="E106" s="6"/>
      <c r="F106" s="6"/>
      <c r="G106" s="10"/>
      <c r="H106" s="6">
        <f t="shared" si="9"/>
        <v>0</v>
      </c>
      <c r="I106" s="6"/>
      <c r="J106" s="6"/>
      <c r="K106" s="6"/>
      <c r="L106" s="6">
        <f t="shared" si="10"/>
        <v>0</v>
      </c>
      <c r="M106" s="6">
        <f t="shared" si="11"/>
        <v>0</v>
      </c>
      <c r="P106" s="8"/>
    </row>
    <row r="107" spans="5:16">
      <c r="E107" s="6"/>
      <c r="F107" s="6"/>
      <c r="G107" s="10"/>
      <c r="H107" s="6">
        <f t="shared" si="9"/>
        <v>0</v>
      </c>
      <c r="I107" s="6"/>
      <c r="J107" s="6"/>
      <c r="K107" s="6"/>
      <c r="L107" s="6">
        <f t="shared" si="10"/>
        <v>0</v>
      </c>
      <c r="M107" s="6">
        <f t="shared" si="11"/>
        <v>0</v>
      </c>
      <c r="P107" s="8"/>
    </row>
    <row r="108" spans="5:16">
      <c r="E108" s="6"/>
      <c r="F108" s="6"/>
      <c r="G108" s="10"/>
      <c r="H108" s="6">
        <f t="shared" si="9"/>
        <v>0</v>
      </c>
      <c r="I108" s="6"/>
      <c r="J108" s="6"/>
      <c r="K108" s="6"/>
      <c r="L108" s="6">
        <f t="shared" si="10"/>
        <v>0</v>
      </c>
      <c r="M108" s="6">
        <f t="shared" si="11"/>
        <v>0</v>
      </c>
      <c r="P108" s="8"/>
    </row>
    <row r="109" spans="5:16">
      <c r="E109" s="6"/>
      <c r="F109" s="6"/>
      <c r="G109" s="10"/>
      <c r="H109" s="6">
        <f t="shared" si="9"/>
        <v>0</v>
      </c>
      <c r="I109" s="6"/>
      <c r="J109" s="6"/>
      <c r="K109" s="6"/>
      <c r="L109" s="6">
        <f t="shared" si="10"/>
        <v>0</v>
      </c>
      <c r="M109" s="6">
        <f t="shared" si="11"/>
        <v>0</v>
      </c>
      <c r="P109" s="8"/>
    </row>
    <row r="110" spans="5:16">
      <c r="E110" s="6"/>
      <c r="F110" s="6"/>
      <c r="G110" s="10"/>
      <c r="H110" s="6">
        <f t="shared" si="9"/>
        <v>0</v>
      </c>
      <c r="I110" s="6"/>
      <c r="J110" s="6"/>
      <c r="K110" s="6"/>
      <c r="L110" s="6">
        <f t="shared" si="10"/>
        <v>0</v>
      </c>
      <c r="M110" s="6">
        <f t="shared" si="11"/>
        <v>0</v>
      </c>
      <c r="P110" s="8"/>
    </row>
    <row r="111" spans="5:16">
      <c r="E111" s="6"/>
      <c r="F111" s="6"/>
      <c r="G111" s="10"/>
      <c r="H111" s="6">
        <f t="shared" si="9"/>
        <v>0</v>
      </c>
      <c r="I111" s="6"/>
      <c r="J111" s="6"/>
      <c r="K111" s="6"/>
      <c r="L111" s="6">
        <f t="shared" si="10"/>
        <v>0</v>
      </c>
      <c r="M111" s="6">
        <f t="shared" si="11"/>
        <v>0</v>
      </c>
      <c r="P111" s="8"/>
    </row>
    <row r="112" spans="5:16">
      <c r="E112" s="6"/>
      <c r="F112" s="6"/>
      <c r="G112" s="10"/>
      <c r="H112" s="6">
        <f t="shared" si="9"/>
        <v>0</v>
      </c>
      <c r="I112" s="6"/>
      <c r="J112" s="6"/>
      <c r="K112" s="6"/>
      <c r="L112" s="6">
        <f t="shared" si="10"/>
        <v>0</v>
      </c>
      <c r="M112" s="6">
        <f t="shared" si="11"/>
        <v>0</v>
      </c>
      <c r="P112" s="8"/>
    </row>
    <row r="113" spans="5:16">
      <c r="E113" s="6"/>
      <c r="F113" s="6"/>
      <c r="G113" s="10"/>
      <c r="H113" s="6">
        <f t="shared" si="9"/>
        <v>0</v>
      </c>
      <c r="I113" s="6"/>
      <c r="J113" s="6"/>
      <c r="K113" s="6"/>
      <c r="L113" s="6">
        <f t="shared" si="10"/>
        <v>0</v>
      </c>
      <c r="M113" s="6">
        <f t="shared" si="11"/>
        <v>0</v>
      </c>
      <c r="P113" s="8"/>
    </row>
    <row r="114" spans="5:16">
      <c r="E114" s="6"/>
      <c r="F114" s="6"/>
      <c r="G114" s="10"/>
      <c r="H114" s="6">
        <f t="shared" si="9"/>
        <v>0</v>
      </c>
      <c r="I114" s="6"/>
      <c r="J114" s="6"/>
      <c r="K114" s="6"/>
      <c r="L114" s="6">
        <f t="shared" si="10"/>
        <v>0</v>
      </c>
      <c r="M114" s="6">
        <f t="shared" si="11"/>
        <v>0</v>
      </c>
      <c r="P114" s="8"/>
    </row>
    <row r="115" spans="5:16">
      <c r="E115" s="6"/>
      <c r="F115" s="6"/>
      <c r="G115" s="10"/>
      <c r="H115" s="6">
        <f t="shared" si="9"/>
        <v>0</v>
      </c>
      <c r="I115" s="6"/>
      <c r="J115" s="6"/>
      <c r="K115" s="6"/>
      <c r="L115" s="6">
        <f t="shared" si="10"/>
        <v>0</v>
      </c>
      <c r="M115" s="6">
        <f t="shared" si="11"/>
        <v>0</v>
      </c>
      <c r="P115" s="8"/>
    </row>
    <row r="116" spans="5:16">
      <c r="E116" s="6"/>
      <c r="F116" s="6"/>
      <c r="G116" s="10"/>
      <c r="H116" s="6">
        <f t="shared" si="9"/>
        <v>0</v>
      </c>
      <c r="I116" s="6"/>
      <c r="J116" s="6"/>
      <c r="K116" s="6"/>
      <c r="L116" s="6">
        <f t="shared" si="10"/>
        <v>0</v>
      </c>
      <c r="M116" s="6">
        <f t="shared" si="11"/>
        <v>0</v>
      </c>
      <c r="P116" s="8"/>
    </row>
    <row r="117" spans="5:16">
      <c r="E117" s="6"/>
      <c r="F117" s="6"/>
      <c r="G117" s="10"/>
      <c r="H117" s="6">
        <f t="shared" si="9"/>
        <v>0</v>
      </c>
      <c r="I117" s="6"/>
      <c r="J117" s="6"/>
      <c r="K117" s="6"/>
      <c r="L117" s="6">
        <f t="shared" si="10"/>
        <v>0</v>
      </c>
      <c r="M117" s="6">
        <f t="shared" si="11"/>
        <v>0</v>
      </c>
      <c r="P117" s="8"/>
    </row>
    <row r="118" spans="5:16">
      <c r="E118" s="6"/>
      <c r="F118" s="6"/>
      <c r="G118" s="10"/>
      <c r="H118" s="6">
        <f t="shared" si="9"/>
        <v>0</v>
      </c>
      <c r="I118" s="6"/>
      <c r="J118" s="6"/>
      <c r="K118" s="6"/>
      <c r="L118" s="6">
        <f t="shared" si="10"/>
        <v>0</v>
      </c>
      <c r="M118" s="6">
        <f t="shared" si="11"/>
        <v>0</v>
      </c>
      <c r="P118" s="8"/>
    </row>
    <row r="119" spans="5:16">
      <c r="E119" s="6"/>
      <c r="F119" s="6"/>
      <c r="G119" s="10"/>
      <c r="H119" s="6">
        <f t="shared" si="9"/>
        <v>0</v>
      </c>
      <c r="I119" s="6"/>
      <c r="J119" s="6"/>
      <c r="K119" s="6"/>
      <c r="L119" s="6">
        <f t="shared" si="10"/>
        <v>0</v>
      </c>
      <c r="M119" s="6">
        <f t="shared" si="11"/>
        <v>0</v>
      </c>
      <c r="P119" s="8"/>
    </row>
    <row r="120" spans="5:16">
      <c r="E120" s="6"/>
      <c r="F120" s="6"/>
      <c r="G120" s="10"/>
      <c r="H120" s="6">
        <f t="shared" si="9"/>
        <v>0</v>
      </c>
      <c r="I120" s="6"/>
      <c r="J120" s="6"/>
      <c r="K120" s="6"/>
      <c r="L120" s="6">
        <f t="shared" si="10"/>
        <v>0</v>
      </c>
      <c r="M120" s="6">
        <f t="shared" si="11"/>
        <v>0</v>
      </c>
      <c r="P120" s="8"/>
    </row>
    <row r="121" spans="5:16">
      <c r="E121" s="6"/>
      <c r="F121" s="6"/>
      <c r="G121" s="10"/>
      <c r="H121" s="6">
        <f t="shared" si="9"/>
        <v>0</v>
      </c>
      <c r="I121" s="6"/>
      <c r="J121" s="6"/>
      <c r="K121" s="6"/>
      <c r="L121" s="6">
        <f t="shared" si="10"/>
        <v>0</v>
      </c>
      <c r="M121" s="6">
        <f t="shared" si="11"/>
        <v>0</v>
      </c>
      <c r="P121" s="8"/>
    </row>
    <row r="122" spans="5:16">
      <c r="E122" s="6"/>
      <c r="F122" s="6"/>
      <c r="G122" s="10"/>
      <c r="H122" s="6">
        <f t="shared" si="9"/>
        <v>0</v>
      </c>
      <c r="I122" s="6"/>
      <c r="J122" s="6"/>
      <c r="K122" s="6"/>
      <c r="L122" s="6">
        <f t="shared" si="10"/>
        <v>0</v>
      </c>
      <c r="M122" s="6">
        <f t="shared" si="11"/>
        <v>0</v>
      </c>
      <c r="P122" s="8"/>
    </row>
    <row r="123" spans="5:16">
      <c r="E123" s="6"/>
      <c r="F123" s="6"/>
      <c r="G123" s="10"/>
      <c r="H123" s="6">
        <f t="shared" si="9"/>
        <v>0</v>
      </c>
      <c r="I123" s="6"/>
      <c r="J123" s="6"/>
      <c r="K123" s="6"/>
      <c r="L123" s="6">
        <f t="shared" si="10"/>
        <v>0</v>
      </c>
      <c r="M123" s="6">
        <f t="shared" si="11"/>
        <v>0</v>
      </c>
      <c r="P123" s="8"/>
    </row>
    <row r="124" spans="5:16">
      <c r="E124" s="6"/>
      <c r="F124" s="6"/>
      <c r="G124" s="10"/>
      <c r="H124" s="6">
        <f t="shared" si="9"/>
        <v>0</v>
      </c>
      <c r="I124" s="6"/>
      <c r="J124" s="6"/>
      <c r="K124" s="6"/>
      <c r="L124" s="6">
        <f t="shared" si="10"/>
        <v>0</v>
      </c>
      <c r="M124" s="6">
        <f t="shared" si="11"/>
        <v>0</v>
      </c>
      <c r="P124" s="8"/>
    </row>
    <row r="125" spans="5:16">
      <c r="E125" s="6"/>
      <c r="F125" s="6"/>
      <c r="G125" s="10"/>
      <c r="H125" s="6">
        <f t="shared" si="9"/>
        <v>0</v>
      </c>
      <c r="I125" s="6"/>
      <c r="J125" s="6"/>
      <c r="K125" s="6"/>
      <c r="L125" s="6">
        <f t="shared" si="10"/>
        <v>0</v>
      </c>
      <c r="M125" s="6">
        <f t="shared" si="11"/>
        <v>0</v>
      </c>
      <c r="P125" s="8"/>
    </row>
    <row r="126" spans="5:16">
      <c r="E126" s="6"/>
      <c r="F126" s="6"/>
      <c r="G126" s="10"/>
      <c r="H126" s="6">
        <f t="shared" si="9"/>
        <v>0</v>
      </c>
      <c r="I126" s="6"/>
      <c r="J126" s="6"/>
      <c r="K126" s="6"/>
      <c r="L126" s="6">
        <f t="shared" si="10"/>
        <v>0</v>
      </c>
      <c r="M126" s="6">
        <f t="shared" si="11"/>
        <v>0</v>
      </c>
      <c r="P126" s="8"/>
    </row>
    <row r="127" spans="5:16">
      <c r="E127" s="6"/>
      <c r="F127" s="6"/>
      <c r="G127" s="10"/>
      <c r="H127" s="6">
        <f t="shared" si="9"/>
        <v>0</v>
      </c>
      <c r="I127" s="6"/>
      <c r="J127" s="6"/>
      <c r="K127" s="6"/>
      <c r="L127" s="6">
        <f t="shared" si="10"/>
        <v>0</v>
      </c>
      <c r="M127" s="6">
        <f t="shared" si="11"/>
        <v>0</v>
      </c>
      <c r="P127" s="8"/>
    </row>
    <row r="128" spans="5:16">
      <c r="E128" s="6"/>
      <c r="F128" s="6"/>
      <c r="G128" s="10"/>
      <c r="H128" s="6">
        <f t="shared" si="9"/>
        <v>0</v>
      </c>
      <c r="I128" s="6"/>
      <c r="J128" s="6"/>
      <c r="K128" s="6"/>
      <c r="L128" s="6">
        <f t="shared" si="10"/>
        <v>0</v>
      </c>
      <c r="M128" s="6">
        <f t="shared" si="11"/>
        <v>0</v>
      </c>
      <c r="P128" s="8"/>
    </row>
    <row r="129" spans="5:16">
      <c r="E129" s="6"/>
      <c r="F129" s="6"/>
      <c r="G129" s="10"/>
      <c r="H129" s="6">
        <f t="shared" si="9"/>
        <v>0</v>
      </c>
      <c r="I129" s="6"/>
      <c r="J129" s="6"/>
      <c r="K129" s="6"/>
      <c r="L129" s="6">
        <f t="shared" si="10"/>
        <v>0</v>
      </c>
      <c r="M129" s="6">
        <f t="shared" si="11"/>
        <v>0</v>
      </c>
      <c r="P129" s="8"/>
    </row>
    <row r="130" spans="5:16">
      <c r="E130" s="6"/>
      <c r="F130" s="6"/>
      <c r="G130" s="10"/>
      <c r="H130" s="6">
        <f t="shared" ref="H130:H161" si="12">E130*G130</f>
        <v>0</v>
      </c>
      <c r="I130" s="6"/>
      <c r="J130" s="6"/>
      <c r="K130" s="6"/>
      <c r="L130" s="6">
        <f t="shared" ref="L130:L161" si="13">H130+I130+J130+K130</f>
        <v>0</v>
      </c>
      <c r="M130" s="6">
        <f t="shared" ref="M130:M161" si="14">E130-L130</f>
        <v>0</v>
      </c>
      <c r="P130" s="8"/>
    </row>
    <row r="131" spans="5:16">
      <c r="E131" s="6"/>
      <c r="F131" s="6"/>
      <c r="G131" s="10"/>
      <c r="H131" s="6">
        <f t="shared" si="12"/>
        <v>0</v>
      </c>
      <c r="I131" s="6"/>
      <c r="J131" s="6"/>
      <c r="K131" s="6"/>
      <c r="L131" s="6">
        <f t="shared" si="13"/>
        <v>0</v>
      </c>
      <c r="M131" s="6">
        <f t="shared" si="14"/>
        <v>0</v>
      </c>
      <c r="P131" s="8"/>
    </row>
    <row r="132" spans="5:16">
      <c r="E132" s="6"/>
      <c r="F132" s="6"/>
      <c r="G132" s="10"/>
      <c r="H132" s="6">
        <f t="shared" si="12"/>
        <v>0</v>
      </c>
      <c r="I132" s="6"/>
      <c r="J132" s="6"/>
      <c r="K132" s="6"/>
      <c r="L132" s="6">
        <f t="shared" si="13"/>
        <v>0</v>
      </c>
      <c r="M132" s="6">
        <f t="shared" si="14"/>
        <v>0</v>
      </c>
      <c r="P132" s="8"/>
    </row>
    <row r="133" spans="5:16">
      <c r="E133" s="6"/>
      <c r="F133" s="6"/>
      <c r="G133" s="10"/>
      <c r="H133" s="6">
        <f t="shared" si="12"/>
        <v>0</v>
      </c>
      <c r="I133" s="6"/>
      <c r="J133" s="6"/>
      <c r="K133" s="6"/>
      <c r="L133" s="6">
        <f t="shared" si="13"/>
        <v>0</v>
      </c>
      <c r="M133" s="6">
        <f t="shared" si="14"/>
        <v>0</v>
      </c>
      <c r="P133" s="8"/>
    </row>
    <row r="134" spans="5:16">
      <c r="E134" s="6"/>
      <c r="F134" s="6"/>
      <c r="G134" s="10"/>
      <c r="H134" s="6">
        <f t="shared" si="12"/>
        <v>0</v>
      </c>
      <c r="I134" s="6"/>
      <c r="J134" s="6"/>
      <c r="K134" s="6"/>
      <c r="L134" s="6">
        <f t="shared" si="13"/>
        <v>0</v>
      </c>
      <c r="M134" s="6">
        <f t="shared" si="14"/>
        <v>0</v>
      </c>
      <c r="P134" s="8"/>
    </row>
    <row r="135" spans="5:16">
      <c r="E135" s="6"/>
      <c r="F135" s="6"/>
      <c r="G135" s="10"/>
      <c r="H135" s="6">
        <f t="shared" si="12"/>
        <v>0</v>
      </c>
      <c r="I135" s="6"/>
      <c r="J135" s="6"/>
      <c r="K135" s="6"/>
      <c r="L135" s="6">
        <f t="shared" si="13"/>
        <v>0</v>
      </c>
      <c r="M135" s="6">
        <f t="shared" si="14"/>
        <v>0</v>
      </c>
      <c r="P135" s="8"/>
    </row>
    <row r="136" spans="5:16">
      <c r="E136" s="6"/>
      <c r="F136" s="6"/>
      <c r="G136" s="10"/>
      <c r="H136" s="6">
        <f t="shared" si="12"/>
        <v>0</v>
      </c>
      <c r="I136" s="6"/>
      <c r="J136" s="6"/>
      <c r="K136" s="6"/>
      <c r="L136" s="6">
        <f t="shared" si="13"/>
        <v>0</v>
      </c>
      <c r="M136" s="6">
        <f t="shared" si="14"/>
        <v>0</v>
      </c>
      <c r="P136" s="8"/>
    </row>
    <row r="137" spans="5:16">
      <c r="E137" s="6"/>
      <c r="F137" s="6"/>
      <c r="G137" s="10"/>
      <c r="H137" s="6">
        <f t="shared" si="12"/>
        <v>0</v>
      </c>
      <c r="I137" s="6"/>
      <c r="J137" s="6"/>
      <c r="K137" s="6"/>
      <c r="L137" s="6">
        <f t="shared" si="13"/>
        <v>0</v>
      </c>
      <c r="M137" s="6">
        <f t="shared" si="14"/>
        <v>0</v>
      </c>
      <c r="P137" s="8"/>
    </row>
    <row r="138" spans="5:16">
      <c r="E138" s="6"/>
      <c r="F138" s="6"/>
      <c r="G138" s="10"/>
      <c r="H138" s="6">
        <f t="shared" si="12"/>
        <v>0</v>
      </c>
      <c r="I138" s="6"/>
      <c r="J138" s="6"/>
      <c r="K138" s="6"/>
      <c r="L138" s="6">
        <f t="shared" si="13"/>
        <v>0</v>
      </c>
      <c r="M138" s="6">
        <f t="shared" si="14"/>
        <v>0</v>
      </c>
      <c r="P138" s="8"/>
    </row>
    <row r="139" spans="5:16">
      <c r="E139" s="6"/>
      <c r="F139" s="6"/>
      <c r="G139" s="10"/>
      <c r="H139" s="6">
        <f t="shared" si="12"/>
        <v>0</v>
      </c>
      <c r="I139" s="6"/>
      <c r="J139" s="6"/>
      <c r="K139" s="6"/>
      <c r="L139" s="6">
        <f t="shared" si="13"/>
        <v>0</v>
      </c>
      <c r="M139" s="6">
        <f t="shared" si="14"/>
        <v>0</v>
      </c>
      <c r="P139" s="8"/>
    </row>
    <row r="140" spans="5:16">
      <c r="E140" s="6"/>
      <c r="F140" s="6"/>
      <c r="G140" s="10"/>
      <c r="H140" s="6">
        <f t="shared" si="12"/>
        <v>0</v>
      </c>
      <c r="I140" s="6"/>
      <c r="J140" s="6"/>
      <c r="K140" s="6"/>
      <c r="L140" s="6">
        <f t="shared" si="13"/>
        <v>0</v>
      </c>
      <c r="M140" s="6">
        <f t="shared" si="14"/>
        <v>0</v>
      </c>
      <c r="P140" s="8"/>
    </row>
    <row r="141" spans="5:16">
      <c r="E141" s="6"/>
      <c r="F141" s="6"/>
      <c r="G141" s="10"/>
      <c r="H141" s="6">
        <f t="shared" si="12"/>
        <v>0</v>
      </c>
      <c r="I141" s="6"/>
      <c r="J141" s="6"/>
      <c r="K141" s="6"/>
      <c r="L141" s="6">
        <f t="shared" si="13"/>
        <v>0</v>
      </c>
      <c r="M141" s="6">
        <f t="shared" si="14"/>
        <v>0</v>
      </c>
      <c r="P141" s="8"/>
    </row>
    <row r="142" spans="5:16">
      <c r="E142" s="6"/>
      <c r="F142" s="6"/>
      <c r="G142" s="10"/>
      <c r="H142" s="6">
        <f t="shared" si="12"/>
        <v>0</v>
      </c>
      <c r="I142" s="6"/>
      <c r="J142" s="6"/>
      <c r="K142" s="6"/>
      <c r="L142" s="6">
        <f t="shared" si="13"/>
        <v>0</v>
      </c>
      <c r="M142" s="6">
        <f t="shared" si="14"/>
        <v>0</v>
      </c>
      <c r="P142" s="8"/>
    </row>
    <row r="143" spans="5:16">
      <c r="E143" s="6"/>
      <c r="F143" s="6"/>
      <c r="G143" s="10"/>
      <c r="H143" s="6">
        <f t="shared" si="12"/>
        <v>0</v>
      </c>
      <c r="I143" s="6"/>
      <c r="J143" s="6"/>
      <c r="K143" s="6"/>
      <c r="L143" s="6">
        <f t="shared" si="13"/>
        <v>0</v>
      </c>
      <c r="M143" s="6">
        <f t="shared" si="14"/>
        <v>0</v>
      </c>
      <c r="P143" s="8"/>
    </row>
    <row r="144" spans="5:16">
      <c r="E144" s="6"/>
      <c r="F144" s="6"/>
      <c r="G144" s="10"/>
      <c r="H144" s="6">
        <f t="shared" si="12"/>
        <v>0</v>
      </c>
      <c r="I144" s="6"/>
      <c r="J144" s="6"/>
      <c r="K144" s="6"/>
      <c r="L144" s="6">
        <f t="shared" si="13"/>
        <v>0</v>
      </c>
      <c r="M144" s="6">
        <f t="shared" si="14"/>
        <v>0</v>
      </c>
      <c r="P144" s="8"/>
    </row>
    <row r="145" spans="5:16">
      <c r="E145" s="6"/>
      <c r="F145" s="6"/>
      <c r="G145" s="10"/>
      <c r="H145" s="6">
        <f t="shared" si="12"/>
        <v>0</v>
      </c>
      <c r="I145" s="6"/>
      <c r="J145" s="6"/>
      <c r="K145" s="6"/>
      <c r="L145" s="6">
        <f t="shared" si="13"/>
        <v>0</v>
      </c>
      <c r="M145" s="6">
        <f t="shared" si="14"/>
        <v>0</v>
      </c>
      <c r="P145" s="8"/>
    </row>
    <row r="146" spans="5:16">
      <c r="E146" s="6"/>
      <c r="F146" s="6"/>
      <c r="G146" s="10"/>
      <c r="H146" s="6">
        <f t="shared" si="12"/>
        <v>0</v>
      </c>
      <c r="I146" s="6"/>
      <c r="J146" s="6"/>
      <c r="K146" s="6"/>
      <c r="L146" s="6">
        <f t="shared" si="13"/>
        <v>0</v>
      </c>
      <c r="M146" s="6">
        <f t="shared" si="14"/>
        <v>0</v>
      </c>
      <c r="P146" s="8"/>
    </row>
    <row r="147" spans="5:16">
      <c r="E147" s="6"/>
      <c r="F147" s="6"/>
      <c r="G147" s="10"/>
      <c r="H147" s="6">
        <f t="shared" si="12"/>
        <v>0</v>
      </c>
      <c r="I147" s="6"/>
      <c r="J147" s="6"/>
      <c r="K147" s="6"/>
      <c r="L147" s="6">
        <f t="shared" si="13"/>
        <v>0</v>
      </c>
      <c r="M147" s="6">
        <f t="shared" si="14"/>
        <v>0</v>
      </c>
      <c r="P147" s="8"/>
    </row>
    <row r="148" spans="5:16">
      <c r="E148" s="6"/>
      <c r="F148" s="6"/>
      <c r="G148" s="10"/>
      <c r="H148" s="6">
        <f t="shared" si="12"/>
        <v>0</v>
      </c>
      <c r="I148" s="6"/>
      <c r="J148" s="6"/>
      <c r="K148" s="6"/>
      <c r="L148" s="6">
        <f t="shared" si="13"/>
        <v>0</v>
      </c>
      <c r="M148" s="6">
        <f t="shared" si="14"/>
        <v>0</v>
      </c>
      <c r="P148" s="8"/>
    </row>
    <row r="149" spans="5:16">
      <c r="E149" s="6"/>
      <c r="F149" s="6"/>
      <c r="G149" s="10"/>
      <c r="H149" s="6">
        <f t="shared" si="12"/>
        <v>0</v>
      </c>
      <c r="I149" s="6"/>
      <c r="J149" s="6"/>
      <c r="K149" s="6"/>
      <c r="L149" s="6">
        <f t="shared" si="13"/>
        <v>0</v>
      </c>
      <c r="M149" s="6">
        <f t="shared" si="14"/>
        <v>0</v>
      </c>
      <c r="P149" s="8"/>
    </row>
    <row r="150" spans="5:16">
      <c r="E150" s="6"/>
      <c r="F150" s="6"/>
      <c r="G150" s="10"/>
      <c r="H150" s="6">
        <f t="shared" si="12"/>
        <v>0</v>
      </c>
      <c r="I150" s="6"/>
      <c r="J150" s="6"/>
      <c r="K150" s="6"/>
      <c r="L150" s="6">
        <f t="shared" si="13"/>
        <v>0</v>
      </c>
      <c r="M150" s="6">
        <f t="shared" si="14"/>
        <v>0</v>
      </c>
      <c r="P150" s="8"/>
    </row>
    <row r="151" spans="5:16">
      <c r="E151" s="6"/>
      <c r="F151" s="6"/>
      <c r="G151" s="10"/>
      <c r="H151" s="6">
        <f t="shared" si="12"/>
        <v>0</v>
      </c>
      <c r="I151" s="6"/>
      <c r="J151" s="6"/>
      <c r="K151" s="6"/>
      <c r="L151" s="6">
        <f t="shared" si="13"/>
        <v>0</v>
      </c>
      <c r="M151" s="6">
        <f t="shared" si="14"/>
        <v>0</v>
      </c>
      <c r="P151" s="8"/>
    </row>
    <row r="152" spans="5:16">
      <c r="E152" s="6"/>
      <c r="F152" s="6"/>
      <c r="G152" s="10"/>
      <c r="H152" s="6">
        <f t="shared" si="12"/>
        <v>0</v>
      </c>
      <c r="I152" s="6"/>
      <c r="J152" s="6"/>
      <c r="K152" s="6"/>
      <c r="L152" s="6">
        <f t="shared" si="13"/>
        <v>0</v>
      </c>
      <c r="M152" s="6">
        <f t="shared" si="14"/>
        <v>0</v>
      </c>
      <c r="P152" s="8"/>
    </row>
    <row r="153" spans="5:16">
      <c r="E153" s="6"/>
      <c r="F153" s="6"/>
      <c r="G153" s="10"/>
      <c r="H153" s="6">
        <f t="shared" si="12"/>
        <v>0</v>
      </c>
      <c r="I153" s="6"/>
      <c r="J153" s="6"/>
      <c r="K153" s="6"/>
      <c r="L153" s="6">
        <f t="shared" si="13"/>
        <v>0</v>
      </c>
      <c r="M153" s="6">
        <f t="shared" si="14"/>
        <v>0</v>
      </c>
      <c r="P153" s="8"/>
    </row>
    <row r="154" spans="5:16">
      <c r="E154" s="6"/>
      <c r="F154" s="6"/>
      <c r="G154" s="10"/>
      <c r="H154" s="6">
        <f t="shared" si="12"/>
        <v>0</v>
      </c>
      <c r="I154" s="6"/>
      <c r="J154" s="6"/>
      <c r="K154" s="6"/>
      <c r="L154" s="6">
        <f t="shared" si="13"/>
        <v>0</v>
      </c>
      <c r="M154" s="6">
        <f t="shared" si="14"/>
        <v>0</v>
      </c>
      <c r="P154" s="8"/>
    </row>
    <row r="155" spans="5:16">
      <c r="E155" s="6"/>
      <c r="F155" s="6"/>
      <c r="G155" s="10"/>
      <c r="H155" s="6">
        <f t="shared" si="12"/>
        <v>0</v>
      </c>
      <c r="I155" s="6"/>
      <c r="J155" s="6"/>
      <c r="K155" s="6"/>
      <c r="L155" s="6">
        <f t="shared" si="13"/>
        <v>0</v>
      </c>
      <c r="M155" s="6">
        <f t="shared" si="14"/>
        <v>0</v>
      </c>
      <c r="P155" s="8"/>
    </row>
    <row r="156" spans="5:16">
      <c r="E156" s="6"/>
      <c r="F156" s="6"/>
      <c r="G156" s="10"/>
      <c r="H156" s="6">
        <f t="shared" si="12"/>
        <v>0</v>
      </c>
      <c r="I156" s="6"/>
      <c r="J156" s="6"/>
      <c r="K156" s="6"/>
      <c r="L156" s="6">
        <f t="shared" si="13"/>
        <v>0</v>
      </c>
      <c r="M156" s="6">
        <f t="shared" si="14"/>
        <v>0</v>
      </c>
      <c r="P156" s="8"/>
    </row>
    <row r="157" spans="5:16">
      <c r="E157" s="6"/>
      <c r="F157" s="6"/>
      <c r="G157" s="10"/>
      <c r="H157" s="6">
        <f t="shared" si="12"/>
        <v>0</v>
      </c>
      <c r="I157" s="6"/>
      <c r="J157" s="6"/>
      <c r="K157" s="6"/>
      <c r="L157" s="6">
        <f t="shared" si="13"/>
        <v>0</v>
      </c>
      <c r="M157" s="6">
        <f t="shared" si="14"/>
        <v>0</v>
      </c>
      <c r="P157" s="8"/>
    </row>
    <row r="158" spans="5:16">
      <c r="E158" s="6"/>
      <c r="F158" s="6"/>
      <c r="G158" s="10"/>
      <c r="H158" s="6">
        <f t="shared" si="12"/>
        <v>0</v>
      </c>
      <c r="I158" s="6"/>
      <c r="J158" s="6"/>
      <c r="K158" s="6"/>
      <c r="L158" s="6">
        <f t="shared" si="13"/>
        <v>0</v>
      </c>
      <c r="M158" s="6">
        <f t="shared" si="14"/>
        <v>0</v>
      </c>
      <c r="P158" s="8"/>
    </row>
    <row r="159" spans="5:16">
      <c r="E159" s="6"/>
      <c r="F159" s="6"/>
      <c r="G159" s="10"/>
      <c r="H159" s="6">
        <f t="shared" si="12"/>
        <v>0</v>
      </c>
      <c r="I159" s="6"/>
      <c r="J159" s="6"/>
      <c r="K159" s="6"/>
      <c r="L159" s="6">
        <f t="shared" si="13"/>
        <v>0</v>
      </c>
      <c r="M159" s="6">
        <f t="shared" si="14"/>
        <v>0</v>
      </c>
      <c r="P159" s="8"/>
    </row>
    <row r="160" spans="5:16">
      <c r="E160" s="6"/>
      <c r="F160" s="6"/>
      <c r="G160" s="10"/>
      <c r="H160" s="6">
        <f t="shared" si="12"/>
        <v>0</v>
      </c>
      <c r="I160" s="6"/>
      <c r="J160" s="6"/>
      <c r="K160" s="6"/>
      <c r="L160" s="6">
        <f t="shared" si="13"/>
        <v>0</v>
      </c>
      <c r="M160" s="6">
        <f t="shared" si="14"/>
        <v>0</v>
      </c>
      <c r="P160" s="8"/>
    </row>
    <row r="161" spans="5:16">
      <c r="E161" s="6"/>
      <c r="F161" s="6"/>
      <c r="G161" s="10"/>
      <c r="H161" s="6">
        <f t="shared" si="12"/>
        <v>0</v>
      </c>
      <c r="I161" s="6"/>
      <c r="J161" s="6"/>
      <c r="K161" s="6"/>
      <c r="L161" s="6">
        <f t="shared" si="13"/>
        <v>0</v>
      </c>
      <c r="M161" s="6">
        <f t="shared" si="14"/>
        <v>0</v>
      </c>
      <c r="P161" s="8"/>
    </row>
    <row r="162" spans="5:16">
      <c r="E162" s="6"/>
      <c r="F162" s="6"/>
      <c r="G162" s="10"/>
      <c r="H162" s="6">
        <f t="shared" ref="H162:H193" si="15">E162*G162</f>
        <v>0</v>
      </c>
      <c r="I162" s="6"/>
      <c r="J162" s="6"/>
      <c r="K162" s="6"/>
      <c r="L162" s="6">
        <f t="shared" ref="L162:L193" si="16">H162+I162+J162+K162</f>
        <v>0</v>
      </c>
      <c r="M162" s="6">
        <f t="shared" ref="M162:M193" si="17">E162-L162</f>
        <v>0</v>
      </c>
      <c r="P162" s="8"/>
    </row>
    <row r="163" spans="5:16">
      <c r="E163" s="6"/>
      <c r="F163" s="6"/>
      <c r="G163" s="10"/>
      <c r="H163" s="6">
        <f t="shared" si="15"/>
        <v>0</v>
      </c>
      <c r="I163" s="6"/>
      <c r="J163" s="6"/>
      <c r="K163" s="6"/>
      <c r="L163" s="6">
        <f t="shared" si="16"/>
        <v>0</v>
      </c>
      <c r="M163" s="6">
        <f t="shared" si="17"/>
        <v>0</v>
      </c>
      <c r="P163" s="8"/>
    </row>
    <row r="164" spans="5:16">
      <c r="E164" s="6"/>
      <c r="F164" s="6"/>
      <c r="G164" s="10"/>
      <c r="H164" s="6">
        <f t="shared" si="15"/>
        <v>0</v>
      </c>
      <c r="I164" s="6"/>
      <c r="J164" s="6"/>
      <c r="K164" s="6"/>
      <c r="L164" s="6">
        <f t="shared" si="16"/>
        <v>0</v>
      </c>
      <c r="M164" s="6">
        <f t="shared" si="17"/>
        <v>0</v>
      </c>
      <c r="P164" s="8"/>
    </row>
    <row r="165" spans="5:16">
      <c r="E165" s="6"/>
      <c r="F165" s="6"/>
      <c r="G165" s="10"/>
      <c r="H165" s="6">
        <f t="shared" si="15"/>
        <v>0</v>
      </c>
      <c r="I165" s="6"/>
      <c r="J165" s="6"/>
      <c r="K165" s="6"/>
      <c r="L165" s="6">
        <f t="shared" si="16"/>
        <v>0</v>
      </c>
      <c r="M165" s="6">
        <f t="shared" si="17"/>
        <v>0</v>
      </c>
      <c r="P165" s="8"/>
    </row>
    <row r="166" spans="5:16">
      <c r="E166" s="6"/>
      <c r="F166" s="6"/>
      <c r="G166" s="10"/>
      <c r="H166" s="6">
        <f t="shared" si="15"/>
        <v>0</v>
      </c>
      <c r="I166" s="6"/>
      <c r="J166" s="6"/>
      <c r="K166" s="6"/>
      <c r="L166" s="6">
        <f t="shared" si="16"/>
        <v>0</v>
      </c>
      <c r="M166" s="6">
        <f t="shared" si="17"/>
        <v>0</v>
      </c>
      <c r="P166" s="8"/>
    </row>
    <row r="167" spans="5:16">
      <c r="E167" s="6"/>
      <c r="F167" s="6"/>
      <c r="G167" s="10"/>
      <c r="H167" s="6">
        <f t="shared" si="15"/>
        <v>0</v>
      </c>
      <c r="I167" s="6"/>
      <c r="J167" s="6"/>
      <c r="K167" s="6"/>
      <c r="L167" s="6">
        <f t="shared" si="16"/>
        <v>0</v>
      </c>
      <c r="M167" s="6">
        <f t="shared" si="17"/>
        <v>0</v>
      </c>
      <c r="P167" s="8"/>
    </row>
    <row r="168" spans="5:16">
      <c r="E168" s="6"/>
      <c r="F168" s="6"/>
      <c r="G168" s="10"/>
      <c r="H168" s="6">
        <f t="shared" si="15"/>
        <v>0</v>
      </c>
      <c r="I168" s="6"/>
      <c r="J168" s="6"/>
      <c r="K168" s="6"/>
      <c r="L168" s="6">
        <f t="shared" si="16"/>
        <v>0</v>
      </c>
      <c r="M168" s="6">
        <f t="shared" si="17"/>
        <v>0</v>
      </c>
      <c r="P168" s="8"/>
    </row>
    <row r="169" spans="5:16">
      <c r="E169" s="6"/>
      <c r="F169" s="6"/>
      <c r="G169" s="10"/>
      <c r="H169" s="6">
        <f t="shared" si="15"/>
        <v>0</v>
      </c>
      <c r="I169" s="6"/>
      <c r="J169" s="6"/>
      <c r="K169" s="6"/>
      <c r="L169" s="6">
        <f t="shared" si="16"/>
        <v>0</v>
      </c>
      <c r="M169" s="6">
        <f t="shared" si="17"/>
        <v>0</v>
      </c>
      <c r="P169" s="8"/>
    </row>
    <row r="170" spans="5:16">
      <c r="E170" s="6"/>
      <c r="F170" s="6"/>
      <c r="G170" s="10"/>
      <c r="H170" s="6">
        <f t="shared" si="15"/>
        <v>0</v>
      </c>
      <c r="I170" s="6"/>
      <c r="J170" s="6"/>
      <c r="K170" s="6"/>
      <c r="L170" s="6">
        <f t="shared" si="16"/>
        <v>0</v>
      </c>
      <c r="M170" s="6">
        <f t="shared" si="17"/>
        <v>0</v>
      </c>
      <c r="P170" s="8"/>
    </row>
    <row r="171" spans="5:16">
      <c r="E171" s="6"/>
      <c r="F171" s="6"/>
      <c r="G171" s="10"/>
      <c r="H171" s="6">
        <f t="shared" si="15"/>
        <v>0</v>
      </c>
      <c r="I171" s="6"/>
      <c r="J171" s="6"/>
      <c r="K171" s="6"/>
      <c r="L171" s="6">
        <f t="shared" si="16"/>
        <v>0</v>
      </c>
      <c r="M171" s="6">
        <f t="shared" si="17"/>
        <v>0</v>
      </c>
      <c r="P171" s="8"/>
    </row>
    <row r="172" spans="5:16">
      <c r="E172" s="6"/>
      <c r="F172" s="6"/>
      <c r="G172" s="10"/>
      <c r="H172" s="6">
        <f t="shared" si="15"/>
        <v>0</v>
      </c>
      <c r="I172" s="6"/>
      <c r="J172" s="6"/>
      <c r="K172" s="6"/>
      <c r="L172" s="6">
        <f t="shared" si="16"/>
        <v>0</v>
      </c>
      <c r="M172" s="6">
        <f t="shared" si="17"/>
        <v>0</v>
      </c>
      <c r="P172" s="8"/>
    </row>
    <row r="173" spans="5:16">
      <c r="E173" s="6"/>
      <c r="F173" s="6"/>
      <c r="G173" s="10"/>
      <c r="H173" s="6">
        <f t="shared" si="15"/>
        <v>0</v>
      </c>
      <c r="I173" s="6"/>
      <c r="J173" s="6"/>
      <c r="K173" s="6"/>
      <c r="L173" s="6">
        <f t="shared" si="16"/>
        <v>0</v>
      </c>
      <c r="M173" s="6">
        <f t="shared" si="17"/>
        <v>0</v>
      </c>
      <c r="P173" s="8"/>
    </row>
    <row r="174" spans="5:16">
      <c r="E174" s="6"/>
      <c r="F174" s="6"/>
      <c r="G174" s="10"/>
      <c r="H174" s="6">
        <f t="shared" si="15"/>
        <v>0</v>
      </c>
      <c r="I174" s="6"/>
      <c r="J174" s="6"/>
      <c r="K174" s="6"/>
      <c r="L174" s="6">
        <f t="shared" si="16"/>
        <v>0</v>
      </c>
      <c r="M174" s="6">
        <f t="shared" si="17"/>
        <v>0</v>
      </c>
      <c r="P174" s="8"/>
    </row>
    <row r="175" spans="5:16">
      <c r="E175" s="6"/>
      <c r="F175" s="6"/>
      <c r="G175" s="10"/>
      <c r="H175" s="6">
        <f t="shared" si="15"/>
        <v>0</v>
      </c>
      <c r="I175" s="6"/>
      <c r="J175" s="6"/>
      <c r="K175" s="6"/>
      <c r="L175" s="6">
        <f t="shared" si="16"/>
        <v>0</v>
      </c>
      <c r="M175" s="6">
        <f t="shared" si="17"/>
        <v>0</v>
      </c>
      <c r="P175" s="8"/>
    </row>
    <row r="176" spans="5:16">
      <c r="E176" s="6"/>
      <c r="F176" s="6"/>
      <c r="G176" s="10"/>
      <c r="H176" s="6">
        <f t="shared" si="15"/>
        <v>0</v>
      </c>
      <c r="I176" s="6"/>
      <c r="J176" s="6"/>
      <c r="K176" s="6"/>
      <c r="L176" s="6">
        <f t="shared" si="16"/>
        <v>0</v>
      </c>
      <c r="M176" s="6">
        <f t="shared" si="17"/>
        <v>0</v>
      </c>
      <c r="P176" s="8"/>
    </row>
    <row r="177" spans="5:16">
      <c r="E177" s="6"/>
      <c r="F177" s="6"/>
      <c r="G177" s="10"/>
      <c r="H177" s="6">
        <f t="shared" si="15"/>
        <v>0</v>
      </c>
      <c r="I177" s="6"/>
      <c r="J177" s="6"/>
      <c r="K177" s="6"/>
      <c r="L177" s="6">
        <f t="shared" si="16"/>
        <v>0</v>
      </c>
      <c r="M177" s="6">
        <f t="shared" si="17"/>
        <v>0</v>
      </c>
      <c r="P177" s="8"/>
    </row>
    <row r="178" spans="5:16">
      <c r="E178" s="6"/>
      <c r="F178" s="6"/>
      <c r="G178" s="10"/>
      <c r="H178" s="6">
        <f t="shared" si="15"/>
        <v>0</v>
      </c>
      <c r="I178" s="6"/>
      <c r="J178" s="6"/>
      <c r="K178" s="6"/>
      <c r="L178" s="6">
        <f t="shared" si="16"/>
        <v>0</v>
      </c>
      <c r="M178" s="6">
        <f t="shared" si="17"/>
        <v>0</v>
      </c>
      <c r="P178" s="8"/>
    </row>
    <row r="179" spans="5:16">
      <c r="E179" s="6"/>
      <c r="F179" s="6"/>
      <c r="G179" s="10"/>
      <c r="H179" s="6">
        <f t="shared" si="15"/>
        <v>0</v>
      </c>
      <c r="I179" s="6"/>
      <c r="J179" s="6"/>
      <c r="K179" s="6"/>
      <c r="L179" s="6">
        <f t="shared" si="16"/>
        <v>0</v>
      </c>
      <c r="M179" s="6">
        <f t="shared" si="17"/>
        <v>0</v>
      </c>
      <c r="P179" s="8"/>
    </row>
    <row r="180" spans="5:16">
      <c r="E180" s="6"/>
      <c r="F180" s="6"/>
      <c r="G180" s="10"/>
      <c r="H180" s="6">
        <f t="shared" si="15"/>
        <v>0</v>
      </c>
      <c r="I180" s="6"/>
      <c r="J180" s="6"/>
      <c r="K180" s="6"/>
      <c r="L180" s="6">
        <f t="shared" si="16"/>
        <v>0</v>
      </c>
      <c r="M180" s="6">
        <f t="shared" si="17"/>
        <v>0</v>
      </c>
      <c r="P180" s="8"/>
    </row>
    <row r="181" spans="5:16">
      <c r="E181" s="6"/>
      <c r="F181" s="6"/>
      <c r="G181" s="10"/>
      <c r="H181" s="6">
        <f t="shared" si="15"/>
        <v>0</v>
      </c>
      <c r="I181" s="6"/>
      <c r="J181" s="6"/>
      <c r="K181" s="6"/>
      <c r="L181" s="6">
        <f t="shared" si="16"/>
        <v>0</v>
      </c>
      <c r="M181" s="6">
        <f t="shared" si="17"/>
        <v>0</v>
      </c>
      <c r="P181" s="8"/>
    </row>
    <row r="182" spans="5:16">
      <c r="E182" s="6"/>
      <c r="F182" s="6"/>
      <c r="G182" s="10"/>
      <c r="H182" s="6">
        <f t="shared" si="15"/>
        <v>0</v>
      </c>
      <c r="I182" s="6"/>
      <c r="J182" s="6"/>
      <c r="K182" s="6"/>
      <c r="L182" s="6">
        <f t="shared" si="16"/>
        <v>0</v>
      </c>
      <c r="M182" s="6">
        <f t="shared" si="17"/>
        <v>0</v>
      </c>
      <c r="P182" s="8"/>
    </row>
    <row r="183" spans="5:16">
      <c r="E183" s="6"/>
      <c r="F183" s="6"/>
      <c r="G183" s="10"/>
      <c r="H183" s="6">
        <f t="shared" si="15"/>
        <v>0</v>
      </c>
      <c r="I183" s="6"/>
      <c r="J183" s="6"/>
      <c r="K183" s="6"/>
      <c r="L183" s="6">
        <f t="shared" si="16"/>
        <v>0</v>
      </c>
      <c r="M183" s="6">
        <f t="shared" si="17"/>
        <v>0</v>
      </c>
      <c r="P183" s="8"/>
    </row>
    <row r="184" spans="5:16">
      <c r="E184" s="6"/>
      <c r="F184" s="6"/>
      <c r="G184" s="10"/>
      <c r="H184" s="6">
        <f t="shared" si="15"/>
        <v>0</v>
      </c>
      <c r="I184" s="6"/>
      <c r="J184" s="6"/>
      <c r="K184" s="6"/>
      <c r="L184" s="6">
        <f t="shared" si="16"/>
        <v>0</v>
      </c>
      <c r="M184" s="6">
        <f t="shared" si="17"/>
        <v>0</v>
      </c>
      <c r="P184" s="8"/>
    </row>
    <row r="185" spans="5:16">
      <c r="E185" s="6"/>
      <c r="F185" s="6"/>
      <c r="G185" s="10"/>
      <c r="H185" s="6">
        <f t="shared" si="15"/>
        <v>0</v>
      </c>
      <c r="I185" s="6"/>
      <c r="J185" s="6"/>
      <c r="K185" s="6"/>
      <c r="L185" s="6">
        <f t="shared" si="16"/>
        <v>0</v>
      </c>
      <c r="M185" s="6">
        <f t="shared" si="17"/>
        <v>0</v>
      </c>
      <c r="P185" s="8"/>
    </row>
    <row r="186" spans="5:16">
      <c r="E186" s="6"/>
      <c r="F186" s="6"/>
      <c r="G186" s="10"/>
      <c r="H186" s="6">
        <f t="shared" si="15"/>
        <v>0</v>
      </c>
      <c r="I186" s="6"/>
      <c r="J186" s="6"/>
      <c r="K186" s="6"/>
      <c r="L186" s="6">
        <f t="shared" si="16"/>
        <v>0</v>
      </c>
      <c r="M186" s="6">
        <f t="shared" si="17"/>
        <v>0</v>
      </c>
      <c r="P186" s="8"/>
    </row>
    <row r="187" spans="5:16">
      <c r="E187" s="6"/>
      <c r="F187" s="6"/>
      <c r="G187" s="10"/>
      <c r="H187" s="6">
        <f t="shared" si="15"/>
        <v>0</v>
      </c>
      <c r="I187" s="6"/>
      <c r="J187" s="6"/>
      <c r="K187" s="6"/>
      <c r="L187" s="6">
        <f t="shared" si="16"/>
        <v>0</v>
      </c>
      <c r="M187" s="6">
        <f t="shared" si="17"/>
        <v>0</v>
      </c>
      <c r="P187" s="8"/>
    </row>
    <row r="188" spans="5:16">
      <c r="E188" s="6"/>
      <c r="F188" s="6"/>
      <c r="G188" s="10"/>
      <c r="H188" s="6">
        <f t="shared" si="15"/>
        <v>0</v>
      </c>
      <c r="I188" s="6"/>
      <c r="J188" s="6"/>
      <c r="K188" s="6"/>
      <c r="L188" s="6">
        <f t="shared" si="16"/>
        <v>0</v>
      </c>
      <c r="M188" s="6">
        <f t="shared" si="17"/>
        <v>0</v>
      </c>
      <c r="P188" s="8"/>
    </row>
    <row r="189" spans="5:16">
      <c r="E189" s="6"/>
      <c r="F189" s="6"/>
      <c r="G189" s="10"/>
      <c r="H189" s="6">
        <f t="shared" si="15"/>
        <v>0</v>
      </c>
      <c r="I189" s="6"/>
      <c r="J189" s="6"/>
      <c r="K189" s="6"/>
      <c r="L189" s="6">
        <f t="shared" si="16"/>
        <v>0</v>
      </c>
      <c r="M189" s="6">
        <f t="shared" si="17"/>
        <v>0</v>
      </c>
      <c r="P189" s="8"/>
    </row>
    <row r="190" spans="5:16">
      <c r="E190" s="6"/>
      <c r="F190" s="6"/>
      <c r="G190" s="10"/>
      <c r="H190" s="6">
        <f t="shared" si="15"/>
        <v>0</v>
      </c>
      <c r="I190" s="6"/>
      <c r="J190" s="6"/>
      <c r="K190" s="6"/>
      <c r="L190" s="6">
        <f t="shared" si="16"/>
        <v>0</v>
      </c>
      <c r="M190" s="6">
        <f t="shared" si="17"/>
        <v>0</v>
      </c>
      <c r="P190" s="8"/>
    </row>
    <row r="191" spans="5:16">
      <c r="E191" s="6"/>
      <c r="F191" s="6"/>
      <c r="G191" s="10"/>
      <c r="H191" s="6">
        <f t="shared" si="15"/>
        <v>0</v>
      </c>
      <c r="I191" s="6"/>
      <c r="J191" s="6"/>
      <c r="K191" s="6"/>
      <c r="L191" s="6">
        <f t="shared" si="16"/>
        <v>0</v>
      </c>
      <c r="M191" s="6">
        <f t="shared" si="17"/>
        <v>0</v>
      </c>
      <c r="P191" s="8"/>
    </row>
    <row r="192" spans="5:16">
      <c r="E192" s="6"/>
      <c r="F192" s="6"/>
      <c r="G192" s="10"/>
      <c r="H192" s="6">
        <f t="shared" si="15"/>
        <v>0</v>
      </c>
      <c r="I192" s="6"/>
      <c r="J192" s="6"/>
      <c r="K192" s="6"/>
      <c r="L192" s="6">
        <f t="shared" si="16"/>
        <v>0</v>
      </c>
      <c r="M192" s="6">
        <f t="shared" si="17"/>
        <v>0</v>
      </c>
      <c r="P192" s="8"/>
    </row>
    <row r="193" spans="5:16">
      <c r="E193" s="6"/>
      <c r="F193" s="6"/>
      <c r="G193" s="10"/>
      <c r="H193" s="6">
        <f t="shared" si="15"/>
        <v>0</v>
      </c>
      <c r="I193" s="6"/>
      <c r="J193" s="6"/>
      <c r="K193" s="6"/>
      <c r="L193" s="6">
        <f t="shared" si="16"/>
        <v>0</v>
      </c>
      <c r="M193" s="6">
        <f t="shared" si="17"/>
        <v>0</v>
      </c>
      <c r="P193" s="8"/>
    </row>
    <row r="194" spans="5:16">
      <c r="E194" s="6"/>
      <c r="F194" s="6"/>
      <c r="G194" s="10"/>
      <c r="H194" s="6">
        <f t="shared" ref="H194:H225" si="18">E194*G194</f>
        <v>0</v>
      </c>
      <c r="I194" s="6"/>
      <c r="J194" s="6"/>
      <c r="K194" s="6"/>
      <c r="L194" s="6">
        <f t="shared" ref="L194:L225" si="19">H194+I194+J194+K194</f>
        <v>0</v>
      </c>
      <c r="M194" s="6">
        <f t="shared" ref="M194:M225" si="20">E194-L194</f>
        <v>0</v>
      </c>
      <c r="P194" s="8"/>
    </row>
    <row r="195" spans="5:16">
      <c r="E195" s="6"/>
      <c r="F195" s="6"/>
      <c r="G195" s="10"/>
      <c r="H195" s="6">
        <f t="shared" si="18"/>
        <v>0</v>
      </c>
      <c r="I195" s="6"/>
      <c r="J195" s="6"/>
      <c r="K195" s="6"/>
      <c r="L195" s="6">
        <f t="shared" si="19"/>
        <v>0</v>
      </c>
      <c r="M195" s="6">
        <f t="shared" si="20"/>
        <v>0</v>
      </c>
      <c r="P195" s="8"/>
    </row>
    <row r="196" spans="5:16">
      <c r="E196" s="6"/>
      <c r="F196" s="6"/>
      <c r="G196" s="10"/>
      <c r="H196" s="6">
        <f t="shared" si="18"/>
        <v>0</v>
      </c>
      <c r="I196" s="6"/>
      <c r="J196" s="6"/>
      <c r="K196" s="6"/>
      <c r="L196" s="6">
        <f t="shared" si="19"/>
        <v>0</v>
      </c>
      <c r="M196" s="6">
        <f t="shared" si="20"/>
        <v>0</v>
      </c>
      <c r="P196" s="8"/>
    </row>
    <row r="197" spans="5:16">
      <c r="E197" s="6"/>
      <c r="F197" s="6"/>
      <c r="G197" s="10"/>
      <c r="H197" s="6">
        <f t="shared" si="18"/>
        <v>0</v>
      </c>
      <c r="I197" s="6"/>
      <c r="J197" s="6"/>
      <c r="K197" s="6"/>
      <c r="L197" s="6">
        <f t="shared" si="19"/>
        <v>0</v>
      </c>
      <c r="M197" s="6">
        <f t="shared" si="20"/>
        <v>0</v>
      </c>
      <c r="P197" s="8"/>
    </row>
    <row r="198" spans="5:16">
      <c r="E198" s="6"/>
      <c r="F198" s="6"/>
      <c r="G198" s="10"/>
      <c r="H198" s="6">
        <f t="shared" si="18"/>
        <v>0</v>
      </c>
      <c r="I198" s="6"/>
      <c r="J198" s="6"/>
      <c r="K198" s="6"/>
      <c r="L198" s="6">
        <f t="shared" si="19"/>
        <v>0</v>
      </c>
      <c r="M198" s="6">
        <f t="shared" si="20"/>
        <v>0</v>
      </c>
      <c r="P198" s="8"/>
    </row>
    <row r="199" spans="5:16">
      <c r="E199" s="6"/>
      <c r="F199" s="6"/>
      <c r="G199" s="10"/>
      <c r="H199" s="6">
        <f t="shared" si="18"/>
        <v>0</v>
      </c>
      <c r="I199" s="6"/>
      <c r="J199" s="6"/>
      <c r="K199" s="6"/>
      <c r="L199" s="6">
        <f t="shared" si="19"/>
        <v>0</v>
      </c>
      <c r="M199" s="6">
        <f t="shared" si="20"/>
        <v>0</v>
      </c>
      <c r="P199" s="8"/>
    </row>
    <row r="200" spans="5:16">
      <c r="E200" s="6"/>
      <c r="F200" s="6"/>
      <c r="G200" s="10"/>
      <c r="H200" s="6">
        <f t="shared" si="18"/>
        <v>0</v>
      </c>
      <c r="I200" s="6"/>
      <c r="J200" s="6"/>
      <c r="K200" s="6"/>
      <c r="L200" s="6">
        <f t="shared" si="19"/>
        <v>0</v>
      </c>
      <c r="M200" s="6">
        <f t="shared" si="20"/>
        <v>0</v>
      </c>
      <c r="P200" s="8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"/>
  <sheetViews>
    <sheetView workbookViewId="0"/>
  </sheetViews>
  <sheetFormatPr defaultRowHeight="13.5"/>
  <cols>
    <col min="1" max="2" width="18" customWidth="1"/>
    <col min="3" max="3" width="34" customWidth="1"/>
  </cols>
  <sheetData>
    <row r="1" spans="1:3" ht="27.75">
      <c r="A1" s="3" t="s">
        <v>594</v>
      </c>
      <c r="B1" s="3" t="s">
        <v>595</v>
      </c>
      <c r="C1" s="3" t="s">
        <v>56</v>
      </c>
    </row>
    <row r="2" spans="1:3">
      <c r="A2" s="4" t="s">
        <v>158</v>
      </c>
      <c r="B2" s="4" t="s">
        <v>218</v>
      </c>
      <c r="C2" s="4" t="s">
        <v>596</v>
      </c>
    </row>
    <row r="3" spans="1:3">
      <c r="A3" s="4" t="s">
        <v>159</v>
      </c>
      <c r="B3" s="4" t="s">
        <v>219</v>
      </c>
      <c r="C3" s="4" t="s">
        <v>597</v>
      </c>
    </row>
    <row r="4" spans="1:3">
      <c r="A4" s="4" t="s">
        <v>598</v>
      </c>
      <c r="B4" s="4" t="s">
        <v>559</v>
      </c>
      <c r="C4" s="4" t="s">
        <v>599</v>
      </c>
    </row>
    <row r="5" spans="1:3">
      <c r="A5" s="4" t="s">
        <v>570</v>
      </c>
      <c r="B5" s="4" t="s">
        <v>600</v>
      </c>
      <c r="C5" s="4" t="s">
        <v>601</v>
      </c>
    </row>
    <row r="6" spans="1:3" ht="27">
      <c r="A6" s="4" t="s">
        <v>571</v>
      </c>
      <c r="B6" s="4" t="s">
        <v>602</v>
      </c>
      <c r="C6" s="4" t="s">
        <v>532</v>
      </c>
    </row>
    <row r="7" spans="1:3" ht="27">
      <c r="A7" s="4" t="s">
        <v>572</v>
      </c>
      <c r="B7" s="4" t="s">
        <v>603</v>
      </c>
      <c r="C7" s="4" t="s">
        <v>604</v>
      </c>
    </row>
    <row r="8" spans="1:3" ht="40.5">
      <c r="A8" s="4" t="s">
        <v>605</v>
      </c>
      <c r="B8" s="4" t="s">
        <v>606</v>
      </c>
      <c r="C8" s="4" t="s">
        <v>607</v>
      </c>
    </row>
    <row r="9" spans="1:3" ht="27">
      <c r="A9" s="4" t="s">
        <v>608</v>
      </c>
      <c r="B9" s="4" t="s">
        <v>609</v>
      </c>
      <c r="C9" s="4" t="s">
        <v>610</v>
      </c>
    </row>
    <row r="10" spans="1:3" ht="27">
      <c r="A10" s="4" t="s">
        <v>575</v>
      </c>
      <c r="B10" s="4" t="s">
        <v>606</v>
      </c>
      <c r="C10" s="4" t="s">
        <v>611</v>
      </c>
    </row>
    <row r="11" spans="1:3" ht="27">
      <c r="A11" s="4" t="s">
        <v>577</v>
      </c>
      <c r="B11" s="4" t="s">
        <v>612</v>
      </c>
      <c r="C11" s="4" t="s">
        <v>613</v>
      </c>
    </row>
    <row r="12" spans="1:3">
      <c r="A12" s="4" t="s">
        <v>614</v>
      </c>
      <c r="B12" s="4"/>
      <c r="C12" s="4" t="s">
        <v>615</v>
      </c>
    </row>
    <row r="13" spans="1:3">
      <c r="A13" s="4" t="s">
        <v>616</v>
      </c>
      <c r="B13" s="4"/>
      <c r="C13" s="4" t="s">
        <v>617</v>
      </c>
    </row>
    <row r="14" spans="1:3">
      <c r="A14" s="4" t="s">
        <v>579</v>
      </c>
      <c r="B14" s="4" t="s">
        <v>186</v>
      </c>
      <c r="C14" s="4" t="s">
        <v>618</v>
      </c>
    </row>
    <row r="15" spans="1:3" ht="67.5">
      <c r="A15" s="4" t="s">
        <v>619</v>
      </c>
      <c r="B15" s="4" t="s">
        <v>620</v>
      </c>
      <c r="C15" s="4" t="s">
        <v>621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4"/>
  <sheetViews>
    <sheetView workbookViewId="0"/>
  </sheetViews>
  <sheetFormatPr defaultRowHeight="13.5"/>
  <cols>
    <col min="1" max="13" width="18" customWidth="1"/>
    <col min="14" max="14" width="34" customWidth="1"/>
    <col min="15" max="15" width="18" customWidth="1"/>
  </cols>
  <sheetData>
    <row r="1" spans="1:15" ht="27.75">
      <c r="A1" s="3" t="s">
        <v>622</v>
      </c>
      <c r="B1" s="3" t="s">
        <v>537</v>
      </c>
      <c r="C1" s="3" t="s">
        <v>386</v>
      </c>
      <c r="D1" s="3" t="s">
        <v>159</v>
      </c>
      <c r="E1" s="3" t="s">
        <v>158</v>
      </c>
      <c r="F1" s="3" t="s">
        <v>328</v>
      </c>
      <c r="G1" s="3" t="s">
        <v>540</v>
      </c>
      <c r="H1" s="3" t="s">
        <v>541</v>
      </c>
      <c r="I1" s="3" t="s">
        <v>623</v>
      </c>
      <c r="J1" s="3" t="s">
        <v>545</v>
      </c>
      <c r="K1" s="3" t="s">
        <v>624</v>
      </c>
      <c r="L1" s="3" t="s">
        <v>625</v>
      </c>
      <c r="M1" s="3" t="s">
        <v>626</v>
      </c>
      <c r="N1" s="3" t="s">
        <v>276</v>
      </c>
      <c r="O1" s="3" t="s">
        <v>51</v>
      </c>
    </row>
    <row r="2" spans="1:15">
      <c r="A2" s="4" t="s">
        <v>627</v>
      </c>
      <c r="B2" s="4" t="s">
        <v>552</v>
      </c>
      <c r="C2" s="4" t="s">
        <v>432</v>
      </c>
      <c r="D2" s="4" t="s">
        <v>219</v>
      </c>
      <c r="E2" s="4" t="s">
        <v>218</v>
      </c>
      <c r="F2" s="4" t="s">
        <v>554</v>
      </c>
      <c r="G2" s="4" t="s">
        <v>269</v>
      </c>
      <c r="H2" s="4" t="s">
        <v>628</v>
      </c>
      <c r="I2" s="4" t="s">
        <v>629</v>
      </c>
      <c r="J2" s="4" t="s">
        <v>241</v>
      </c>
      <c r="K2" s="4"/>
      <c r="L2" s="4" t="s">
        <v>186</v>
      </c>
      <c r="M2" s="4" t="s">
        <v>630</v>
      </c>
      <c r="N2" s="4" t="s">
        <v>631</v>
      </c>
      <c r="O2" s="4" t="s">
        <v>632</v>
      </c>
    </row>
    <row r="3" spans="1:15">
      <c r="A3" s="4" t="s">
        <v>633</v>
      </c>
      <c r="B3" s="4" t="s">
        <v>558</v>
      </c>
      <c r="C3" s="4" t="s">
        <v>423</v>
      </c>
      <c r="D3" s="4" t="s">
        <v>191</v>
      </c>
      <c r="E3" s="4" t="s">
        <v>190</v>
      </c>
      <c r="F3" s="4" t="s">
        <v>560</v>
      </c>
      <c r="G3" s="4" t="s">
        <v>255</v>
      </c>
      <c r="H3" s="4" t="s">
        <v>634</v>
      </c>
      <c r="I3" s="4" t="s">
        <v>255</v>
      </c>
      <c r="J3" s="4"/>
      <c r="K3" s="4"/>
      <c r="L3" s="4" t="s">
        <v>186</v>
      </c>
      <c r="M3" s="4" t="s">
        <v>635</v>
      </c>
      <c r="N3" s="4" t="s">
        <v>636</v>
      </c>
      <c r="O3" s="4" t="s">
        <v>632</v>
      </c>
    </row>
    <row r="4" spans="1:15">
      <c r="A4" s="4" t="s">
        <v>637</v>
      </c>
      <c r="B4" s="4" t="s">
        <v>562</v>
      </c>
      <c r="C4" s="4" t="s">
        <v>399</v>
      </c>
      <c r="D4" s="4" t="s">
        <v>176</v>
      </c>
      <c r="E4" s="4" t="s">
        <v>175</v>
      </c>
      <c r="F4" s="4" t="s">
        <v>560</v>
      </c>
      <c r="G4" s="4" t="s">
        <v>245</v>
      </c>
      <c r="H4" s="4" t="s">
        <v>634</v>
      </c>
      <c r="I4" s="4" t="s">
        <v>245</v>
      </c>
      <c r="J4" s="4"/>
      <c r="K4" s="4"/>
      <c r="L4" s="4" t="s">
        <v>186</v>
      </c>
      <c r="M4" s="4" t="s">
        <v>635</v>
      </c>
      <c r="N4" s="4" t="s">
        <v>638</v>
      </c>
      <c r="O4" s="4" t="s">
        <v>632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"/>
  <sheetViews>
    <sheetView workbookViewId="0"/>
  </sheetViews>
  <sheetFormatPr defaultRowHeight="13.5"/>
  <cols>
    <col min="1" max="13" width="18" customWidth="1"/>
    <col min="14" max="14" width="34" customWidth="1"/>
  </cols>
  <sheetData>
    <row r="1" spans="1:14" ht="27.75">
      <c r="A1" s="3" t="s">
        <v>639</v>
      </c>
      <c r="B1" s="3" t="s">
        <v>489</v>
      </c>
      <c r="C1" s="3" t="s">
        <v>386</v>
      </c>
      <c r="D1" s="3" t="s">
        <v>159</v>
      </c>
      <c r="E1" s="3" t="s">
        <v>493</v>
      </c>
      <c r="F1" s="3" t="s">
        <v>495</v>
      </c>
      <c r="G1" s="3" t="s">
        <v>496</v>
      </c>
      <c r="H1" s="3" t="s">
        <v>640</v>
      </c>
      <c r="I1" s="3" t="s">
        <v>641</v>
      </c>
      <c r="J1" s="3" t="s">
        <v>642</v>
      </c>
      <c r="K1" s="3" t="s">
        <v>643</v>
      </c>
      <c r="L1" s="3" t="s">
        <v>644</v>
      </c>
      <c r="M1" s="3" t="s">
        <v>645</v>
      </c>
      <c r="N1" s="3" t="s">
        <v>56</v>
      </c>
    </row>
    <row r="2" spans="1:14">
      <c r="A2" s="4" t="s">
        <v>646</v>
      </c>
      <c r="B2" s="4" t="s">
        <v>500</v>
      </c>
      <c r="C2" s="4" t="s">
        <v>399</v>
      </c>
      <c r="D2" s="4" t="s">
        <v>176</v>
      </c>
      <c r="E2" s="4" t="s">
        <v>245</v>
      </c>
      <c r="F2" s="4" t="s">
        <v>245</v>
      </c>
      <c r="G2" s="4" t="s">
        <v>255</v>
      </c>
      <c r="H2" s="4" t="s">
        <v>634</v>
      </c>
      <c r="I2" s="4" t="s">
        <v>634</v>
      </c>
      <c r="J2" s="4" t="s">
        <v>634</v>
      </c>
      <c r="K2" s="4" t="s">
        <v>181</v>
      </c>
      <c r="L2" s="4" t="s">
        <v>647</v>
      </c>
      <c r="M2" s="4" t="s">
        <v>648</v>
      </c>
      <c r="N2" s="4" t="s">
        <v>649</v>
      </c>
    </row>
    <row r="3" spans="1:14">
      <c r="A3" s="4" t="s">
        <v>650</v>
      </c>
      <c r="B3" s="4" t="s">
        <v>504</v>
      </c>
      <c r="C3" s="4" t="s">
        <v>423</v>
      </c>
      <c r="D3" s="4" t="s">
        <v>191</v>
      </c>
      <c r="E3" s="4" t="s">
        <v>255</v>
      </c>
      <c r="F3" s="4" t="s">
        <v>255</v>
      </c>
      <c r="G3" s="4" t="s">
        <v>427</v>
      </c>
      <c r="H3" s="4" t="s">
        <v>255</v>
      </c>
      <c r="I3" s="4" t="s">
        <v>427</v>
      </c>
      <c r="J3" s="4" t="s">
        <v>436</v>
      </c>
      <c r="K3" s="4" t="s">
        <v>651</v>
      </c>
      <c r="L3" s="4" t="s">
        <v>652</v>
      </c>
      <c r="M3" s="4" t="s">
        <v>648</v>
      </c>
      <c r="N3" s="4" t="s">
        <v>653</v>
      </c>
    </row>
    <row r="4" spans="1:14">
      <c r="A4" s="4" t="s">
        <v>654</v>
      </c>
      <c r="B4" s="4" t="s">
        <v>505</v>
      </c>
      <c r="C4" s="4" t="s">
        <v>432</v>
      </c>
      <c r="D4" s="4" t="s">
        <v>219</v>
      </c>
      <c r="E4" s="4" t="s">
        <v>269</v>
      </c>
      <c r="F4" s="4" t="s">
        <v>269</v>
      </c>
      <c r="G4" s="4" t="s">
        <v>420</v>
      </c>
      <c r="H4" s="4" t="s">
        <v>269</v>
      </c>
      <c r="I4" s="4" t="s">
        <v>420</v>
      </c>
      <c r="J4" s="4" t="s">
        <v>655</v>
      </c>
      <c r="K4" s="4" t="s">
        <v>651</v>
      </c>
      <c r="L4" s="4" t="s">
        <v>652</v>
      </c>
      <c r="M4" s="4" t="s">
        <v>648</v>
      </c>
      <c r="N4" s="4" t="s">
        <v>506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"/>
  <sheetViews>
    <sheetView workbookViewId="0"/>
  </sheetViews>
  <sheetFormatPr defaultRowHeight="13.5"/>
  <cols>
    <col min="1" max="16" width="18" customWidth="1"/>
    <col min="17" max="17" width="34" customWidth="1"/>
  </cols>
  <sheetData>
    <row r="1" spans="1:17" ht="27.75">
      <c r="A1" s="3" t="s">
        <v>656</v>
      </c>
      <c r="B1" s="3" t="s">
        <v>489</v>
      </c>
      <c r="C1" s="3" t="s">
        <v>386</v>
      </c>
      <c r="D1" s="3" t="s">
        <v>159</v>
      </c>
      <c r="E1" s="3" t="s">
        <v>657</v>
      </c>
      <c r="F1" s="3" t="s">
        <v>658</v>
      </c>
      <c r="G1" s="3" t="s">
        <v>659</v>
      </c>
      <c r="H1" s="3" t="s">
        <v>660</v>
      </c>
      <c r="I1" s="3" t="s">
        <v>661</v>
      </c>
      <c r="J1" s="3" t="s">
        <v>662</v>
      </c>
      <c r="K1" s="3" t="s">
        <v>663</v>
      </c>
      <c r="L1" s="3" t="s">
        <v>576</v>
      </c>
      <c r="M1" s="3" t="s">
        <v>664</v>
      </c>
      <c r="N1" s="3" t="s">
        <v>665</v>
      </c>
      <c r="O1" s="3" t="s">
        <v>666</v>
      </c>
      <c r="P1" s="3" t="s">
        <v>51</v>
      </c>
      <c r="Q1" s="3" t="s">
        <v>56</v>
      </c>
    </row>
    <row r="2" spans="1:17" ht="27">
      <c r="A2" s="4" t="s">
        <v>667</v>
      </c>
      <c r="B2" s="4" t="s">
        <v>505</v>
      </c>
      <c r="C2" s="4" t="s">
        <v>432</v>
      </c>
      <c r="D2" s="4" t="s">
        <v>219</v>
      </c>
      <c r="E2" s="4"/>
      <c r="F2" s="4" t="s">
        <v>634</v>
      </c>
      <c r="G2" s="4" t="s">
        <v>634</v>
      </c>
      <c r="H2" s="4" t="s">
        <v>634</v>
      </c>
      <c r="I2" s="4" t="s">
        <v>634</v>
      </c>
      <c r="J2" s="4" t="s">
        <v>634</v>
      </c>
      <c r="K2" s="4" t="s">
        <v>634</v>
      </c>
      <c r="L2" s="4" t="s">
        <v>634</v>
      </c>
      <c r="M2" s="4" t="s">
        <v>420</v>
      </c>
      <c r="N2" s="4" t="s">
        <v>420</v>
      </c>
      <c r="O2" s="4" t="s">
        <v>181</v>
      </c>
      <c r="P2" s="4" t="s">
        <v>668</v>
      </c>
      <c r="Q2" s="4" t="s">
        <v>669</v>
      </c>
    </row>
    <row r="3" spans="1:17">
      <c r="A3" s="4" t="s">
        <v>670</v>
      </c>
      <c r="B3" s="4" t="s">
        <v>504</v>
      </c>
      <c r="C3" s="4" t="s">
        <v>423</v>
      </c>
      <c r="D3" s="4" t="s">
        <v>191</v>
      </c>
      <c r="E3" s="4"/>
      <c r="F3" s="4" t="s">
        <v>634</v>
      </c>
      <c r="G3" s="4" t="s">
        <v>634</v>
      </c>
      <c r="H3" s="4" t="s">
        <v>634</v>
      </c>
      <c r="I3" s="4" t="s">
        <v>634</v>
      </c>
      <c r="J3" s="4" t="s">
        <v>634</v>
      </c>
      <c r="K3" s="4" t="s">
        <v>634</v>
      </c>
      <c r="L3" s="4" t="s">
        <v>634</v>
      </c>
      <c r="M3" s="4" t="s">
        <v>427</v>
      </c>
      <c r="N3" s="4" t="s">
        <v>427</v>
      </c>
      <c r="O3" s="4" t="s">
        <v>181</v>
      </c>
      <c r="P3" s="4" t="s">
        <v>668</v>
      </c>
      <c r="Q3" s="4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"/>
  <sheetViews>
    <sheetView workbookViewId="0"/>
  </sheetViews>
  <sheetFormatPr defaultRowHeight="13.5"/>
  <cols>
    <col min="1" max="10" width="18" customWidth="1"/>
    <col min="11" max="11" width="34" customWidth="1"/>
    <col min="12" max="14" width="18" customWidth="1"/>
  </cols>
  <sheetData>
    <row r="1" spans="1:14" ht="27.75">
      <c r="A1" s="3" t="s">
        <v>671</v>
      </c>
      <c r="B1" s="3" t="s">
        <v>159</v>
      </c>
      <c r="C1" s="3" t="s">
        <v>489</v>
      </c>
      <c r="D1" s="3" t="s">
        <v>386</v>
      </c>
      <c r="E1" s="3" t="s">
        <v>158</v>
      </c>
      <c r="F1" s="3" t="s">
        <v>126</v>
      </c>
      <c r="G1" s="3" t="s">
        <v>672</v>
      </c>
      <c r="H1" s="3" t="s">
        <v>673</v>
      </c>
      <c r="I1" s="3" t="s">
        <v>674</v>
      </c>
      <c r="J1" s="3" t="s">
        <v>675</v>
      </c>
      <c r="K1" s="3" t="s">
        <v>676</v>
      </c>
      <c r="L1" s="3" t="s">
        <v>677</v>
      </c>
      <c r="M1" s="3" t="s">
        <v>678</v>
      </c>
      <c r="N1" s="3" t="s">
        <v>51</v>
      </c>
    </row>
    <row r="2" spans="1:14">
      <c r="A2" s="4" t="s">
        <v>679</v>
      </c>
      <c r="B2" s="4" t="s">
        <v>176</v>
      </c>
      <c r="C2" s="4" t="s">
        <v>500</v>
      </c>
      <c r="D2" s="4" t="s">
        <v>399</v>
      </c>
      <c r="E2" s="4" t="s">
        <v>175</v>
      </c>
      <c r="F2" s="4" t="s">
        <v>127</v>
      </c>
      <c r="G2" s="4"/>
      <c r="H2" s="4"/>
      <c r="I2" s="4" t="s">
        <v>322</v>
      </c>
      <c r="J2" s="4" t="s">
        <v>181</v>
      </c>
      <c r="K2" s="4" t="s">
        <v>680</v>
      </c>
      <c r="L2" s="4" t="s">
        <v>681</v>
      </c>
      <c r="M2" s="4" t="s">
        <v>186</v>
      </c>
      <c r="N2" s="4" t="s">
        <v>682</v>
      </c>
    </row>
    <row r="3" spans="1:14" ht="27">
      <c r="A3" s="4" t="s">
        <v>683</v>
      </c>
      <c r="B3" s="4" t="s">
        <v>219</v>
      </c>
      <c r="C3" s="4" t="s">
        <v>505</v>
      </c>
      <c r="D3" s="4" t="s">
        <v>432</v>
      </c>
      <c r="E3" s="4" t="s">
        <v>218</v>
      </c>
      <c r="F3" s="4" t="s">
        <v>129</v>
      </c>
      <c r="G3" s="4"/>
      <c r="H3" s="4"/>
      <c r="I3" s="4" t="s">
        <v>322</v>
      </c>
      <c r="J3" s="4" t="s">
        <v>181</v>
      </c>
      <c r="K3" s="4" t="s">
        <v>684</v>
      </c>
      <c r="L3" s="4" t="s">
        <v>208</v>
      </c>
      <c r="M3" s="4" t="s">
        <v>186</v>
      </c>
      <c r="N3" s="4" t="s">
        <v>561</v>
      </c>
    </row>
    <row r="4" spans="1:14">
      <c r="A4" s="4" t="s">
        <v>685</v>
      </c>
      <c r="B4" s="4" t="s">
        <v>219</v>
      </c>
      <c r="C4" s="4" t="s">
        <v>505</v>
      </c>
      <c r="D4" s="4" t="s">
        <v>432</v>
      </c>
      <c r="E4" s="4" t="s">
        <v>218</v>
      </c>
      <c r="F4" s="4" t="s">
        <v>131</v>
      </c>
      <c r="G4" s="4"/>
      <c r="H4" s="4"/>
      <c r="I4" s="4" t="s">
        <v>322</v>
      </c>
      <c r="J4" s="4" t="s">
        <v>181</v>
      </c>
      <c r="K4" s="4" t="s">
        <v>686</v>
      </c>
      <c r="L4" s="4" t="s">
        <v>687</v>
      </c>
      <c r="M4" s="4" t="s">
        <v>186</v>
      </c>
      <c r="N4" s="4" t="s">
        <v>668</v>
      </c>
    </row>
  </sheetData>
  <dataValidations count="1">
    <dataValidation type="list" sqref="N2:N200" xr:uid="{00000000-0002-0000-1200-000000000000}">
      <formula1>"Pending,Open,In Progress,Completed,Closed,Approved,Rejected,Hold,Planned,Future,Active,Paid,Unpaid,Partial"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1"/>
  <sheetViews>
    <sheetView workbookViewId="0"/>
  </sheetViews>
  <sheetFormatPr defaultRowHeight="13.5"/>
  <cols>
    <col min="1" max="8" width="18" customWidth="1"/>
    <col min="9" max="9" width="34" customWidth="1"/>
    <col min="10" max="10" width="18" customWidth="1"/>
  </cols>
  <sheetData>
    <row r="1" spans="1:10" ht="13.9">
      <c r="A1" s="3" t="s">
        <v>271</v>
      </c>
      <c r="B1" s="3" t="s">
        <v>671</v>
      </c>
      <c r="C1" s="3" t="s">
        <v>688</v>
      </c>
      <c r="D1" s="3" t="s">
        <v>689</v>
      </c>
      <c r="E1" s="3" t="s">
        <v>273</v>
      </c>
      <c r="F1" s="3" t="s">
        <v>690</v>
      </c>
      <c r="G1" s="3" t="s">
        <v>691</v>
      </c>
      <c r="H1" s="3" t="s">
        <v>692</v>
      </c>
      <c r="I1" s="3" t="s">
        <v>276</v>
      </c>
      <c r="J1" s="3" t="s">
        <v>275</v>
      </c>
    </row>
    <row r="2" spans="1:10" ht="40.5">
      <c r="A2" s="4" t="s">
        <v>693</v>
      </c>
      <c r="B2" s="4" t="s">
        <v>679</v>
      </c>
      <c r="C2" s="4" t="s">
        <v>694</v>
      </c>
      <c r="D2" s="4" t="s">
        <v>695</v>
      </c>
      <c r="E2" s="4" t="s">
        <v>208</v>
      </c>
      <c r="F2" s="4"/>
      <c r="G2" s="4" t="s">
        <v>208</v>
      </c>
      <c r="H2" s="4"/>
      <c r="I2" s="4" t="s">
        <v>696</v>
      </c>
      <c r="J2" s="4" t="s">
        <v>322</v>
      </c>
    </row>
    <row r="3" spans="1:10" ht="54">
      <c r="A3" s="4" t="s">
        <v>697</v>
      </c>
      <c r="B3" s="4" t="s">
        <v>679</v>
      </c>
      <c r="C3" s="4" t="s">
        <v>698</v>
      </c>
      <c r="D3" s="4" t="s">
        <v>699</v>
      </c>
      <c r="E3" s="4" t="s">
        <v>208</v>
      </c>
      <c r="F3" s="4"/>
      <c r="G3" s="4" t="s">
        <v>208</v>
      </c>
      <c r="H3" s="4"/>
      <c r="I3" s="4" t="s">
        <v>700</v>
      </c>
      <c r="J3" s="4" t="s">
        <v>317</v>
      </c>
    </row>
    <row r="4" spans="1:10" ht="27">
      <c r="A4" s="4" t="s">
        <v>701</v>
      </c>
      <c r="B4" s="4" t="s">
        <v>679</v>
      </c>
      <c r="C4" s="4" t="s">
        <v>702</v>
      </c>
      <c r="D4" s="4" t="s">
        <v>703</v>
      </c>
      <c r="E4" s="4" t="s">
        <v>208</v>
      </c>
      <c r="F4" s="4"/>
      <c r="G4" s="4" t="s">
        <v>208</v>
      </c>
      <c r="H4" s="4"/>
      <c r="I4" s="4" t="s">
        <v>704</v>
      </c>
      <c r="J4" s="4" t="s">
        <v>322</v>
      </c>
    </row>
    <row r="5" spans="1:10" ht="40.5">
      <c r="A5" s="4" t="s">
        <v>705</v>
      </c>
      <c r="B5" s="4" t="s">
        <v>679</v>
      </c>
      <c r="C5" s="4" t="s">
        <v>227</v>
      </c>
      <c r="D5" s="4" t="s">
        <v>706</v>
      </c>
      <c r="E5" s="4" t="s">
        <v>208</v>
      </c>
      <c r="F5" s="4"/>
      <c r="G5" s="4" t="s">
        <v>208</v>
      </c>
      <c r="H5" s="4"/>
      <c r="I5" s="4" t="s">
        <v>704</v>
      </c>
      <c r="J5" s="4" t="s">
        <v>322</v>
      </c>
    </row>
    <row r="6" spans="1:10" ht="27">
      <c r="A6" s="4" t="s">
        <v>707</v>
      </c>
      <c r="B6" s="4" t="s">
        <v>679</v>
      </c>
      <c r="C6" s="4" t="s">
        <v>708</v>
      </c>
      <c r="D6" s="4" t="s">
        <v>709</v>
      </c>
      <c r="E6" s="4" t="s">
        <v>208</v>
      </c>
      <c r="F6" s="4"/>
      <c r="G6" s="4" t="s">
        <v>208</v>
      </c>
      <c r="H6" s="4"/>
      <c r="I6" s="4" t="s">
        <v>710</v>
      </c>
      <c r="J6" s="4" t="s">
        <v>322</v>
      </c>
    </row>
    <row r="7" spans="1:10" ht="40.5">
      <c r="A7" s="4" t="s">
        <v>711</v>
      </c>
      <c r="B7" s="4" t="s">
        <v>679</v>
      </c>
      <c r="C7" s="4" t="s">
        <v>228</v>
      </c>
      <c r="D7" s="4" t="s">
        <v>712</v>
      </c>
      <c r="E7" s="4" t="s">
        <v>208</v>
      </c>
      <c r="F7" s="4"/>
      <c r="G7" s="4" t="s">
        <v>208</v>
      </c>
      <c r="H7" s="4"/>
      <c r="I7" s="4" t="s">
        <v>710</v>
      </c>
      <c r="J7" s="4" t="s">
        <v>322</v>
      </c>
    </row>
    <row r="8" spans="1:10" ht="27">
      <c r="A8" s="4" t="s">
        <v>713</v>
      </c>
      <c r="B8" s="4" t="s">
        <v>679</v>
      </c>
      <c r="C8" s="4" t="s">
        <v>714</v>
      </c>
      <c r="D8" s="4" t="s">
        <v>715</v>
      </c>
      <c r="E8" s="4" t="s">
        <v>208</v>
      </c>
      <c r="F8" s="4"/>
      <c r="G8" s="4" t="s">
        <v>208</v>
      </c>
      <c r="H8" s="4"/>
      <c r="I8" s="4" t="s">
        <v>716</v>
      </c>
      <c r="J8" s="4" t="s">
        <v>317</v>
      </c>
    </row>
    <row r="9" spans="1:10" ht="40.5">
      <c r="A9" s="4" t="s">
        <v>717</v>
      </c>
      <c r="B9" s="4" t="s">
        <v>679</v>
      </c>
      <c r="C9" s="4" t="s">
        <v>718</v>
      </c>
      <c r="D9" s="4" t="s">
        <v>719</v>
      </c>
      <c r="E9" s="4" t="s">
        <v>208</v>
      </c>
      <c r="F9" s="4"/>
      <c r="G9" s="4" t="s">
        <v>208</v>
      </c>
      <c r="H9" s="4"/>
      <c r="I9" s="4" t="s">
        <v>720</v>
      </c>
      <c r="J9" s="4" t="s">
        <v>322</v>
      </c>
    </row>
    <row r="10" spans="1:10" ht="27">
      <c r="A10" s="4" t="s">
        <v>721</v>
      </c>
      <c r="B10" s="4" t="s">
        <v>679</v>
      </c>
      <c r="C10" s="4" t="s">
        <v>722</v>
      </c>
      <c r="D10" s="4" t="s">
        <v>723</v>
      </c>
      <c r="E10" s="4" t="s">
        <v>724</v>
      </c>
      <c r="F10" s="4"/>
      <c r="G10" s="4" t="s">
        <v>208</v>
      </c>
      <c r="H10" s="4"/>
      <c r="I10" s="4" t="s">
        <v>725</v>
      </c>
      <c r="J10" s="4" t="s">
        <v>322</v>
      </c>
    </row>
    <row r="11" spans="1:10" ht="27">
      <c r="A11" s="4" t="s">
        <v>726</v>
      </c>
      <c r="B11" s="4" t="s">
        <v>679</v>
      </c>
      <c r="C11" s="4" t="s">
        <v>727</v>
      </c>
      <c r="D11" s="4" t="s">
        <v>728</v>
      </c>
      <c r="E11" s="4" t="s">
        <v>208</v>
      </c>
      <c r="F11" s="4"/>
      <c r="G11" s="4" t="s">
        <v>186</v>
      </c>
      <c r="H11" s="4"/>
      <c r="I11" s="4" t="s">
        <v>729</v>
      </c>
      <c r="J11" s="4" t="s">
        <v>317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9"/>
  <sheetViews>
    <sheetView workbookViewId="0"/>
  </sheetViews>
  <sheetFormatPr defaultRowHeight="13.5"/>
  <cols>
    <col min="1" max="7" width="18" customWidth="1"/>
    <col min="8" max="9" width="34" customWidth="1"/>
    <col min="10" max="10" width="18" customWidth="1"/>
  </cols>
  <sheetData>
    <row r="1" spans="1:10" ht="13.9">
      <c r="A1" s="3" t="s">
        <v>271</v>
      </c>
      <c r="B1" s="3" t="s">
        <v>671</v>
      </c>
      <c r="C1" s="3" t="s">
        <v>688</v>
      </c>
      <c r="D1" s="3" t="s">
        <v>689</v>
      </c>
      <c r="E1" s="3" t="s">
        <v>273</v>
      </c>
      <c r="F1" s="3" t="s">
        <v>690</v>
      </c>
      <c r="G1" s="3" t="s">
        <v>691</v>
      </c>
      <c r="H1" s="3" t="s">
        <v>730</v>
      </c>
      <c r="I1" s="3" t="s">
        <v>276</v>
      </c>
      <c r="J1" s="3" t="s">
        <v>275</v>
      </c>
    </row>
    <row r="2" spans="1:10" ht="27">
      <c r="A2" s="4" t="s">
        <v>731</v>
      </c>
      <c r="B2" s="4" t="s">
        <v>683</v>
      </c>
      <c r="C2" s="4" t="s">
        <v>694</v>
      </c>
      <c r="D2" s="4" t="s">
        <v>732</v>
      </c>
      <c r="E2" s="4" t="s">
        <v>208</v>
      </c>
      <c r="F2" s="4"/>
      <c r="G2" s="4" t="s">
        <v>208</v>
      </c>
      <c r="H2" s="4"/>
      <c r="I2" s="4" t="s">
        <v>733</v>
      </c>
      <c r="J2" s="4" t="s">
        <v>322</v>
      </c>
    </row>
    <row r="3" spans="1:10" ht="40.5">
      <c r="A3" s="4" t="s">
        <v>734</v>
      </c>
      <c r="B3" s="4" t="s">
        <v>683</v>
      </c>
      <c r="C3" s="4" t="s">
        <v>735</v>
      </c>
      <c r="D3" s="4" t="s">
        <v>736</v>
      </c>
      <c r="E3" s="4" t="s">
        <v>208</v>
      </c>
      <c r="F3" s="4"/>
      <c r="G3" s="4" t="s">
        <v>737</v>
      </c>
      <c r="H3" s="4"/>
      <c r="I3" s="4" t="s">
        <v>738</v>
      </c>
      <c r="J3" s="4" t="s">
        <v>187</v>
      </c>
    </row>
    <row r="4" spans="1:10" ht="40.5">
      <c r="A4" s="4" t="s">
        <v>739</v>
      </c>
      <c r="B4" s="4" t="s">
        <v>683</v>
      </c>
      <c r="C4" s="4" t="s">
        <v>740</v>
      </c>
      <c r="D4" s="4" t="s">
        <v>741</v>
      </c>
      <c r="E4" s="4" t="s">
        <v>208</v>
      </c>
      <c r="F4" s="4"/>
      <c r="G4" s="4" t="s">
        <v>737</v>
      </c>
      <c r="H4" s="4" t="s">
        <v>154</v>
      </c>
      <c r="I4" s="4" t="s">
        <v>742</v>
      </c>
      <c r="J4" s="4" t="s">
        <v>187</v>
      </c>
    </row>
    <row r="5" spans="1:10" ht="27">
      <c r="A5" s="4" t="s">
        <v>743</v>
      </c>
      <c r="B5" s="4" t="s">
        <v>683</v>
      </c>
      <c r="C5" s="4" t="s">
        <v>744</v>
      </c>
      <c r="D5" s="4" t="s">
        <v>745</v>
      </c>
      <c r="E5" s="4" t="s">
        <v>208</v>
      </c>
      <c r="F5" s="4"/>
      <c r="G5" s="4" t="s">
        <v>208</v>
      </c>
      <c r="H5" s="4" t="s">
        <v>746</v>
      </c>
      <c r="I5" s="4" t="s">
        <v>747</v>
      </c>
      <c r="J5" s="4" t="s">
        <v>187</v>
      </c>
    </row>
    <row r="6" spans="1:10" ht="27">
      <c r="A6" s="4" t="s">
        <v>748</v>
      </c>
      <c r="B6" s="4" t="s">
        <v>683</v>
      </c>
      <c r="C6" s="4" t="s">
        <v>749</v>
      </c>
      <c r="D6" s="4" t="s">
        <v>750</v>
      </c>
      <c r="E6" s="4" t="s">
        <v>208</v>
      </c>
      <c r="F6" s="4"/>
      <c r="G6" s="4" t="s">
        <v>208</v>
      </c>
      <c r="H6" s="4" t="s">
        <v>152</v>
      </c>
      <c r="I6" s="4" t="s">
        <v>751</v>
      </c>
      <c r="J6" s="4" t="s">
        <v>317</v>
      </c>
    </row>
    <row r="7" spans="1:10" ht="40.5">
      <c r="A7" s="4" t="s">
        <v>752</v>
      </c>
      <c r="B7" s="4" t="s">
        <v>683</v>
      </c>
      <c r="C7" s="4" t="s">
        <v>753</v>
      </c>
      <c r="D7" s="4" t="s">
        <v>754</v>
      </c>
      <c r="E7" s="4" t="s">
        <v>208</v>
      </c>
      <c r="F7" s="4"/>
      <c r="G7" s="4" t="s">
        <v>208</v>
      </c>
      <c r="H7" s="4" t="s">
        <v>154</v>
      </c>
      <c r="I7" s="4" t="s">
        <v>755</v>
      </c>
      <c r="J7" s="4" t="s">
        <v>187</v>
      </c>
    </row>
    <row r="8" spans="1:10" ht="40.5">
      <c r="A8" s="4" t="s">
        <v>756</v>
      </c>
      <c r="B8" s="4" t="s">
        <v>683</v>
      </c>
      <c r="C8" s="4" t="s">
        <v>757</v>
      </c>
      <c r="D8" s="4" t="s">
        <v>758</v>
      </c>
      <c r="E8" s="4" t="s">
        <v>532</v>
      </c>
      <c r="F8" s="4"/>
      <c r="G8" s="4" t="s">
        <v>186</v>
      </c>
      <c r="H8" s="4" t="s">
        <v>152</v>
      </c>
      <c r="I8" s="4" t="s">
        <v>759</v>
      </c>
      <c r="J8" s="4" t="s">
        <v>187</v>
      </c>
    </row>
    <row r="9" spans="1:10" ht="40.5">
      <c r="A9" s="4" t="s">
        <v>760</v>
      </c>
      <c r="B9" s="4" t="s">
        <v>683</v>
      </c>
      <c r="C9" s="4" t="s">
        <v>761</v>
      </c>
      <c r="D9" s="4" t="s">
        <v>762</v>
      </c>
      <c r="E9" s="4" t="s">
        <v>208</v>
      </c>
      <c r="F9" s="4"/>
      <c r="G9" s="4" t="s">
        <v>186</v>
      </c>
      <c r="H9" s="4"/>
      <c r="I9" s="4" t="s">
        <v>763</v>
      </c>
      <c r="J9" s="4" t="s">
        <v>317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9"/>
  <sheetViews>
    <sheetView workbookViewId="0"/>
  </sheetViews>
  <sheetFormatPr defaultRowHeight="13.5"/>
  <cols>
    <col min="1" max="8" width="18" customWidth="1"/>
    <col min="9" max="9" width="34" customWidth="1"/>
    <col min="10" max="10" width="18" customWidth="1"/>
  </cols>
  <sheetData>
    <row r="1" spans="1:10" ht="27.75">
      <c r="A1" s="3" t="s">
        <v>271</v>
      </c>
      <c r="B1" s="3" t="s">
        <v>671</v>
      </c>
      <c r="C1" s="3" t="s">
        <v>688</v>
      </c>
      <c r="D1" s="3" t="s">
        <v>689</v>
      </c>
      <c r="E1" s="3" t="s">
        <v>273</v>
      </c>
      <c r="F1" s="3" t="s">
        <v>690</v>
      </c>
      <c r="G1" s="3" t="s">
        <v>691</v>
      </c>
      <c r="H1" s="3" t="s">
        <v>764</v>
      </c>
      <c r="I1" s="3" t="s">
        <v>276</v>
      </c>
      <c r="J1" s="3" t="s">
        <v>275</v>
      </c>
    </row>
    <row r="2" spans="1:10" ht="27">
      <c r="A2" s="4" t="s">
        <v>765</v>
      </c>
      <c r="B2" s="4" t="s">
        <v>685</v>
      </c>
      <c r="C2" s="4" t="s">
        <v>694</v>
      </c>
      <c r="D2" s="4" t="s">
        <v>766</v>
      </c>
      <c r="E2" s="4" t="s">
        <v>208</v>
      </c>
      <c r="F2" s="4"/>
      <c r="G2" s="4" t="s">
        <v>208</v>
      </c>
      <c r="H2" s="4"/>
      <c r="I2" s="4" t="s">
        <v>767</v>
      </c>
      <c r="J2" s="4" t="s">
        <v>322</v>
      </c>
    </row>
    <row r="3" spans="1:10" ht="27">
      <c r="A3" s="4" t="s">
        <v>768</v>
      </c>
      <c r="B3" s="4" t="s">
        <v>685</v>
      </c>
      <c r="C3" s="4" t="s">
        <v>769</v>
      </c>
      <c r="D3" s="4" t="s">
        <v>770</v>
      </c>
      <c r="E3" s="4" t="s">
        <v>208</v>
      </c>
      <c r="F3" s="4"/>
      <c r="G3" s="4" t="s">
        <v>208</v>
      </c>
      <c r="H3" s="4"/>
      <c r="I3" s="4" t="s">
        <v>771</v>
      </c>
      <c r="J3" s="4" t="s">
        <v>187</v>
      </c>
    </row>
    <row r="4" spans="1:10" ht="27">
      <c r="A4" s="4" t="s">
        <v>772</v>
      </c>
      <c r="B4" s="4" t="s">
        <v>685</v>
      </c>
      <c r="C4" s="4" t="s">
        <v>744</v>
      </c>
      <c r="D4" s="4" t="s">
        <v>745</v>
      </c>
      <c r="E4" s="4" t="s">
        <v>208</v>
      </c>
      <c r="F4" s="4"/>
      <c r="G4" s="4" t="s">
        <v>208</v>
      </c>
      <c r="H4" s="4"/>
      <c r="I4" s="4" t="s">
        <v>773</v>
      </c>
      <c r="J4" s="4" t="s">
        <v>187</v>
      </c>
    </row>
    <row r="5" spans="1:10" ht="27">
      <c r="A5" s="4" t="s">
        <v>774</v>
      </c>
      <c r="B5" s="4" t="s">
        <v>685</v>
      </c>
      <c r="C5" s="4" t="s">
        <v>714</v>
      </c>
      <c r="D5" s="4" t="s">
        <v>775</v>
      </c>
      <c r="E5" s="4" t="s">
        <v>208</v>
      </c>
      <c r="F5" s="4"/>
      <c r="G5" s="4" t="s">
        <v>186</v>
      </c>
      <c r="H5" s="4"/>
      <c r="I5" s="4" t="s">
        <v>776</v>
      </c>
      <c r="J5" s="4" t="s">
        <v>317</v>
      </c>
    </row>
    <row r="6" spans="1:10" ht="40.5">
      <c r="A6" s="4" t="s">
        <v>777</v>
      </c>
      <c r="B6" s="4" t="s">
        <v>685</v>
      </c>
      <c r="C6" s="4" t="s">
        <v>698</v>
      </c>
      <c r="D6" s="4" t="s">
        <v>778</v>
      </c>
      <c r="E6" s="4" t="s">
        <v>208</v>
      </c>
      <c r="F6" s="4"/>
      <c r="G6" s="4" t="s">
        <v>208</v>
      </c>
      <c r="H6" s="4"/>
      <c r="I6" s="4" t="s">
        <v>779</v>
      </c>
      <c r="J6" s="4" t="s">
        <v>317</v>
      </c>
    </row>
    <row r="7" spans="1:10" ht="27">
      <c r="A7" s="4" t="s">
        <v>780</v>
      </c>
      <c r="B7" s="4" t="s">
        <v>685</v>
      </c>
      <c r="C7" s="4" t="s">
        <v>781</v>
      </c>
      <c r="D7" s="4" t="s">
        <v>782</v>
      </c>
      <c r="E7" s="4" t="s">
        <v>208</v>
      </c>
      <c r="F7" s="4"/>
      <c r="G7" s="4" t="s">
        <v>186</v>
      </c>
      <c r="H7" s="4"/>
      <c r="I7" s="4" t="s">
        <v>783</v>
      </c>
      <c r="J7" s="4" t="s">
        <v>304</v>
      </c>
    </row>
    <row r="8" spans="1:10" ht="27">
      <c r="A8" s="4" t="s">
        <v>784</v>
      </c>
      <c r="B8" s="4" t="s">
        <v>685</v>
      </c>
      <c r="C8" s="4" t="s">
        <v>785</v>
      </c>
      <c r="D8" s="4" t="s">
        <v>786</v>
      </c>
      <c r="E8" s="4" t="s">
        <v>208</v>
      </c>
      <c r="F8" s="4"/>
      <c r="G8" s="4" t="s">
        <v>186</v>
      </c>
      <c r="H8" s="4"/>
      <c r="I8" s="4" t="s">
        <v>787</v>
      </c>
      <c r="J8" s="4" t="s">
        <v>304</v>
      </c>
    </row>
    <row r="9" spans="1:10" ht="27">
      <c r="A9" s="4" t="s">
        <v>788</v>
      </c>
      <c r="B9" s="4" t="s">
        <v>685</v>
      </c>
      <c r="C9" s="4" t="s">
        <v>666</v>
      </c>
      <c r="D9" s="4" t="s">
        <v>789</v>
      </c>
      <c r="E9" s="4" t="s">
        <v>208</v>
      </c>
      <c r="F9" s="4"/>
      <c r="G9" s="4" t="s">
        <v>186</v>
      </c>
      <c r="H9" s="4"/>
      <c r="I9" s="4" t="s">
        <v>790</v>
      </c>
      <c r="J9" s="4" t="s">
        <v>187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4"/>
  <sheetViews>
    <sheetView workbookViewId="0"/>
  </sheetViews>
  <sheetFormatPr defaultRowHeight="13.5"/>
  <cols>
    <col min="1" max="7" width="18" customWidth="1"/>
    <col min="8" max="8" width="34" customWidth="1"/>
    <col min="9" max="17" width="18" customWidth="1"/>
    <col min="18" max="18" width="34" customWidth="1"/>
  </cols>
  <sheetData>
    <row r="1" spans="1:18" ht="27.75">
      <c r="A1" s="3" t="s">
        <v>791</v>
      </c>
      <c r="B1" s="3" t="s">
        <v>159</v>
      </c>
      <c r="C1" s="3" t="s">
        <v>489</v>
      </c>
      <c r="D1" s="3" t="s">
        <v>386</v>
      </c>
      <c r="E1" s="3" t="s">
        <v>158</v>
      </c>
      <c r="F1" s="3" t="s">
        <v>792</v>
      </c>
      <c r="G1" s="3" t="s">
        <v>793</v>
      </c>
      <c r="H1" s="3" t="s">
        <v>794</v>
      </c>
      <c r="I1" s="3" t="s">
        <v>148</v>
      </c>
      <c r="J1" s="3" t="s">
        <v>795</v>
      </c>
      <c r="K1" s="3" t="s">
        <v>472</v>
      </c>
      <c r="L1" s="3" t="s">
        <v>796</v>
      </c>
      <c r="M1" s="3" t="s">
        <v>797</v>
      </c>
      <c r="N1" s="3" t="s">
        <v>798</v>
      </c>
      <c r="O1" s="3" t="s">
        <v>799</v>
      </c>
      <c r="P1" s="3" t="s">
        <v>800</v>
      </c>
      <c r="Q1" s="3" t="s">
        <v>51</v>
      </c>
      <c r="R1" s="3" t="s">
        <v>56</v>
      </c>
    </row>
    <row r="2" spans="1:18" ht="27">
      <c r="A2" s="4" t="s">
        <v>801</v>
      </c>
      <c r="B2" s="4" t="s">
        <v>219</v>
      </c>
      <c r="C2" s="4" t="s">
        <v>505</v>
      </c>
      <c r="D2" s="4" t="s">
        <v>432</v>
      </c>
      <c r="E2" s="4" t="s">
        <v>218</v>
      </c>
      <c r="F2" s="4"/>
      <c r="G2" s="4" t="s">
        <v>134</v>
      </c>
      <c r="H2" s="4" t="s">
        <v>802</v>
      </c>
      <c r="I2" s="4" t="s">
        <v>152</v>
      </c>
      <c r="J2" s="4" t="s">
        <v>208</v>
      </c>
      <c r="K2" s="4" t="s">
        <v>803</v>
      </c>
      <c r="L2" s="4" t="s">
        <v>364</v>
      </c>
      <c r="M2" s="4" t="s">
        <v>804</v>
      </c>
      <c r="N2" s="4" t="s">
        <v>805</v>
      </c>
      <c r="O2" s="4" t="s">
        <v>634</v>
      </c>
      <c r="P2" s="4" t="s">
        <v>181</v>
      </c>
      <c r="Q2" s="4" t="s">
        <v>632</v>
      </c>
      <c r="R2" s="4" t="s">
        <v>806</v>
      </c>
    </row>
    <row r="3" spans="1:18">
      <c r="A3" s="4" t="s">
        <v>807</v>
      </c>
      <c r="B3" s="4" t="s">
        <v>211</v>
      </c>
      <c r="C3" s="4"/>
      <c r="D3" s="4"/>
      <c r="E3" s="4" t="s">
        <v>210</v>
      </c>
      <c r="F3" s="4"/>
      <c r="G3" s="4" t="s">
        <v>808</v>
      </c>
      <c r="H3" s="4" t="s">
        <v>809</v>
      </c>
      <c r="I3" s="4" t="s">
        <v>152</v>
      </c>
      <c r="J3" s="4" t="s">
        <v>186</v>
      </c>
      <c r="K3" s="4" t="s">
        <v>208</v>
      </c>
      <c r="L3" s="4" t="s">
        <v>364</v>
      </c>
      <c r="M3" s="4" t="s">
        <v>810</v>
      </c>
      <c r="N3" s="4" t="s">
        <v>811</v>
      </c>
      <c r="O3" s="4" t="s">
        <v>634</v>
      </c>
      <c r="P3" s="4" t="s">
        <v>181</v>
      </c>
      <c r="Q3" s="4" t="s">
        <v>682</v>
      </c>
      <c r="R3" s="4" t="s">
        <v>812</v>
      </c>
    </row>
    <row r="4" spans="1:18" ht="27">
      <c r="A4" s="4" t="s">
        <v>813</v>
      </c>
      <c r="B4" s="4" t="s">
        <v>191</v>
      </c>
      <c r="C4" s="4" t="s">
        <v>504</v>
      </c>
      <c r="D4" s="4" t="s">
        <v>423</v>
      </c>
      <c r="E4" s="4" t="s">
        <v>190</v>
      </c>
      <c r="F4" s="4"/>
      <c r="G4" s="4" t="s">
        <v>138</v>
      </c>
      <c r="H4" s="4" t="s">
        <v>814</v>
      </c>
      <c r="I4" s="4" t="s">
        <v>156</v>
      </c>
      <c r="J4" s="4" t="s">
        <v>186</v>
      </c>
      <c r="K4" s="4" t="s">
        <v>815</v>
      </c>
      <c r="L4" s="4" t="s">
        <v>364</v>
      </c>
      <c r="M4" s="4" t="s">
        <v>816</v>
      </c>
      <c r="N4" s="4" t="s">
        <v>817</v>
      </c>
      <c r="O4" s="4" t="s">
        <v>634</v>
      </c>
      <c r="P4" s="4" t="s">
        <v>181</v>
      </c>
      <c r="Q4" s="4" t="s">
        <v>632</v>
      </c>
      <c r="R4" s="4" t="s">
        <v>139</v>
      </c>
    </row>
  </sheetData>
  <dataValidations count="1">
    <dataValidation type="list" sqref="Q2:Q200" xr:uid="{00000000-0002-0000-1600-000000000000}">
      <formula1>"Pending,Open,In Progress,Completed,Closed,Approved,Rejected,Hold,Planned,Future,Active,Paid,Unpaid,Partial"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"/>
  <sheetViews>
    <sheetView workbookViewId="0"/>
  </sheetViews>
  <sheetFormatPr defaultRowHeight="13.5"/>
  <cols>
    <col min="1" max="5" width="18" customWidth="1"/>
    <col min="6" max="6" width="34" customWidth="1"/>
    <col min="7" max="14" width="18" customWidth="1"/>
    <col min="15" max="15" width="34" customWidth="1"/>
  </cols>
  <sheetData>
    <row r="1" spans="1:15" ht="27.75">
      <c r="A1" s="3" t="s">
        <v>818</v>
      </c>
      <c r="B1" s="3" t="s">
        <v>159</v>
      </c>
      <c r="C1" s="3" t="s">
        <v>158</v>
      </c>
      <c r="D1" s="3" t="s">
        <v>819</v>
      </c>
      <c r="E1" s="3" t="s">
        <v>820</v>
      </c>
      <c r="F1" s="3" t="s">
        <v>821</v>
      </c>
      <c r="G1" s="3" t="s">
        <v>822</v>
      </c>
      <c r="H1" s="3" t="s">
        <v>472</v>
      </c>
      <c r="I1" s="3" t="s">
        <v>823</v>
      </c>
      <c r="J1" s="3" t="s">
        <v>824</v>
      </c>
      <c r="K1" s="3" t="s">
        <v>825</v>
      </c>
      <c r="L1" s="3" t="s">
        <v>826</v>
      </c>
      <c r="M1" s="3" t="s">
        <v>827</v>
      </c>
      <c r="N1" s="3" t="s">
        <v>51</v>
      </c>
      <c r="O1" s="3" t="s">
        <v>56</v>
      </c>
    </row>
    <row r="2" spans="1:15">
      <c r="A2" s="4" t="s">
        <v>828</v>
      </c>
      <c r="B2" s="4" t="s">
        <v>219</v>
      </c>
      <c r="C2" s="4" t="s">
        <v>218</v>
      </c>
      <c r="D2" s="4" t="s">
        <v>801</v>
      </c>
      <c r="E2" s="4" t="s">
        <v>829</v>
      </c>
      <c r="F2" s="4" t="s">
        <v>830</v>
      </c>
      <c r="G2" s="4" t="s">
        <v>805</v>
      </c>
      <c r="H2" s="4" t="s">
        <v>208</v>
      </c>
      <c r="I2" s="4" t="s">
        <v>831</v>
      </c>
      <c r="J2" s="4" t="s">
        <v>250</v>
      </c>
      <c r="K2" s="4"/>
      <c r="L2" s="4" t="s">
        <v>186</v>
      </c>
      <c r="M2" s="4" t="s">
        <v>208</v>
      </c>
      <c r="N2" s="4" t="s">
        <v>181</v>
      </c>
      <c r="O2" s="4"/>
    </row>
    <row r="3" spans="1:15">
      <c r="A3" s="4" t="s">
        <v>832</v>
      </c>
      <c r="B3" s="4" t="s">
        <v>211</v>
      </c>
      <c r="C3" s="4" t="s">
        <v>210</v>
      </c>
      <c r="D3" s="4" t="s">
        <v>807</v>
      </c>
      <c r="E3" s="4" t="s">
        <v>769</v>
      </c>
      <c r="F3" s="4" t="s">
        <v>833</v>
      </c>
      <c r="G3" s="4" t="s">
        <v>811</v>
      </c>
      <c r="H3" s="4" t="s">
        <v>208</v>
      </c>
      <c r="I3" s="4" t="s">
        <v>834</v>
      </c>
      <c r="J3" s="4" t="s">
        <v>250</v>
      </c>
      <c r="K3" s="4"/>
      <c r="L3" s="4" t="s">
        <v>186</v>
      </c>
      <c r="M3" s="4" t="s">
        <v>835</v>
      </c>
      <c r="N3" s="4" t="s">
        <v>181</v>
      </c>
      <c r="O3" s="4"/>
    </row>
    <row r="4" spans="1:15" ht="27">
      <c r="A4" s="4" t="s">
        <v>836</v>
      </c>
      <c r="B4" s="4" t="s">
        <v>191</v>
      </c>
      <c r="C4" s="4" t="s">
        <v>190</v>
      </c>
      <c r="D4" s="4" t="s">
        <v>813</v>
      </c>
      <c r="E4" s="4" t="s">
        <v>138</v>
      </c>
      <c r="F4" s="4" t="s">
        <v>837</v>
      </c>
      <c r="G4" s="4" t="s">
        <v>817</v>
      </c>
      <c r="H4" s="4" t="s">
        <v>838</v>
      </c>
      <c r="I4" s="4" t="s">
        <v>839</v>
      </c>
      <c r="J4" s="4" t="s">
        <v>840</v>
      </c>
      <c r="K4" s="4"/>
      <c r="L4" s="4" t="s">
        <v>186</v>
      </c>
      <c r="M4" s="4" t="s">
        <v>208</v>
      </c>
      <c r="N4" s="4" t="s">
        <v>181</v>
      </c>
      <c r="O4" s="4"/>
    </row>
  </sheetData>
  <dataValidations count="1">
    <dataValidation type="list" sqref="N2:N200" xr:uid="{00000000-0002-0000-1700-000000000000}">
      <formula1>"Pending,Open,In Progress,Completed,Closed,Approved,Rejected,Hold,Planned,Future,Active,Paid,Unpaid,Partial"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"/>
  <sheetViews>
    <sheetView workbookViewId="0"/>
  </sheetViews>
  <sheetFormatPr defaultRowHeight="13.5"/>
  <cols>
    <col min="1" max="6" width="18" customWidth="1"/>
    <col min="7" max="7" width="34" customWidth="1"/>
    <col min="8" max="11" width="18" customWidth="1"/>
    <col min="12" max="12" width="34" customWidth="1"/>
  </cols>
  <sheetData>
    <row r="1" spans="1:12" ht="27.75">
      <c r="A1" s="3" t="s">
        <v>443</v>
      </c>
      <c r="B1" s="3" t="s">
        <v>386</v>
      </c>
      <c r="C1" s="3" t="s">
        <v>159</v>
      </c>
      <c r="D1" s="3" t="s">
        <v>489</v>
      </c>
      <c r="E1" s="3" t="s">
        <v>792</v>
      </c>
      <c r="F1" s="3" t="s">
        <v>841</v>
      </c>
      <c r="G1" s="3" t="s">
        <v>842</v>
      </c>
      <c r="H1" s="3" t="s">
        <v>148</v>
      </c>
      <c r="I1" s="3" t="s">
        <v>843</v>
      </c>
      <c r="J1" s="3" t="s">
        <v>472</v>
      </c>
      <c r="K1" s="3" t="s">
        <v>51</v>
      </c>
      <c r="L1" s="3" t="s">
        <v>844</v>
      </c>
    </row>
    <row r="2" spans="1:12">
      <c r="A2" s="4" t="s">
        <v>845</v>
      </c>
      <c r="B2" s="4" t="s">
        <v>432</v>
      </c>
      <c r="C2" s="4" t="s">
        <v>219</v>
      </c>
      <c r="D2" s="4" t="s">
        <v>505</v>
      </c>
      <c r="E2" s="4"/>
      <c r="F2" s="4" t="s">
        <v>749</v>
      </c>
      <c r="G2" s="4" t="s">
        <v>846</v>
      </c>
      <c r="H2" s="4" t="s">
        <v>152</v>
      </c>
      <c r="I2" s="4" t="s">
        <v>187</v>
      </c>
      <c r="J2" s="4" t="s">
        <v>847</v>
      </c>
      <c r="K2" s="4" t="s">
        <v>632</v>
      </c>
      <c r="L2" s="4"/>
    </row>
    <row r="3" spans="1:12">
      <c r="A3" s="4" t="s">
        <v>848</v>
      </c>
      <c r="B3" s="4" t="s">
        <v>432</v>
      </c>
      <c r="C3" s="4" t="s">
        <v>219</v>
      </c>
      <c r="D3" s="4" t="s">
        <v>505</v>
      </c>
      <c r="E3" s="4"/>
      <c r="F3" s="4" t="s">
        <v>849</v>
      </c>
      <c r="G3" s="4" t="s">
        <v>850</v>
      </c>
      <c r="H3" s="4" t="s">
        <v>149</v>
      </c>
      <c r="I3" s="4" t="s">
        <v>317</v>
      </c>
      <c r="J3" s="4" t="s">
        <v>186</v>
      </c>
      <c r="K3" s="4" t="s">
        <v>632</v>
      </c>
      <c r="L3" s="4"/>
    </row>
    <row r="4" spans="1:12">
      <c r="A4" s="4" t="s">
        <v>851</v>
      </c>
      <c r="B4" s="4" t="s">
        <v>423</v>
      </c>
      <c r="C4" s="4" t="s">
        <v>191</v>
      </c>
      <c r="D4" s="4" t="s">
        <v>504</v>
      </c>
      <c r="E4" s="4"/>
      <c r="F4" s="4" t="s">
        <v>852</v>
      </c>
      <c r="G4" s="4" t="s">
        <v>853</v>
      </c>
      <c r="H4" s="4" t="s">
        <v>152</v>
      </c>
      <c r="I4" s="4" t="s">
        <v>317</v>
      </c>
      <c r="J4" s="4" t="s">
        <v>186</v>
      </c>
      <c r="K4" s="4" t="s">
        <v>632</v>
      </c>
      <c r="L4" s="4"/>
    </row>
  </sheetData>
  <dataValidations count="1">
    <dataValidation type="list" sqref="K2:K200" xr:uid="{00000000-0002-0000-1800-000000000000}">
      <formula1>"Pending,Open,In Progress,Completed,Closed,Approved,Rejected,Hold,Planned,Future,Active,Paid,Unpaid,Partial"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4"/>
  <sheetViews>
    <sheetView workbookViewId="0"/>
  </sheetViews>
  <sheetFormatPr defaultRowHeight="13.5"/>
  <cols>
    <col min="1" max="5" width="18" customWidth="1"/>
    <col min="6" max="6" width="34" customWidth="1"/>
    <col min="7" max="13" width="18" customWidth="1"/>
    <col min="14" max="14" width="34" customWidth="1"/>
  </cols>
  <sheetData>
    <row r="1" spans="1:14" ht="13.9">
      <c r="A1" s="3" t="s">
        <v>854</v>
      </c>
      <c r="B1" s="3" t="s">
        <v>159</v>
      </c>
      <c r="C1" s="3" t="s">
        <v>489</v>
      </c>
      <c r="D1" s="3" t="s">
        <v>386</v>
      </c>
      <c r="E1" s="3" t="s">
        <v>855</v>
      </c>
      <c r="F1" s="3" t="s">
        <v>856</v>
      </c>
      <c r="G1" s="3" t="s">
        <v>857</v>
      </c>
      <c r="H1" s="3" t="s">
        <v>858</v>
      </c>
      <c r="I1" s="3" t="s">
        <v>859</v>
      </c>
      <c r="J1" s="3" t="s">
        <v>328</v>
      </c>
      <c r="K1" s="3" t="s">
        <v>860</v>
      </c>
      <c r="L1" s="3" t="s">
        <v>89</v>
      </c>
      <c r="M1" s="3" t="s">
        <v>861</v>
      </c>
      <c r="N1" s="3" t="s">
        <v>56</v>
      </c>
    </row>
    <row r="2" spans="1:14" ht="27">
      <c r="A2" s="4" t="s">
        <v>862</v>
      </c>
      <c r="B2" s="4" t="s">
        <v>219</v>
      </c>
      <c r="C2" s="4" t="s">
        <v>505</v>
      </c>
      <c r="D2" s="4" t="s">
        <v>432</v>
      </c>
      <c r="E2" s="4" t="s">
        <v>863</v>
      </c>
      <c r="F2" s="4" t="s">
        <v>270</v>
      </c>
      <c r="G2" s="4" t="s">
        <v>804</v>
      </c>
      <c r="H2" s="4" t="s">
        <v>548</v>
      </c>
      <c r="I2" s="4" t="s">
        <v>364</v>
      </c>
      <c r="J2" s="4"/>
      <c r="K2" s="4" t="s">
        <v>270</v>
      </c>
      <c r="L2" s="4" t="s">
        <v>181</v>
      </c>
      <c r="M2" s="4" t="s">
        <v>864</v>
      </c>
      <c r="N2" s="4" t="s">
        <v>865</v>
      </c>
    </row>
    <row r="3" spans="1:14">
      <c r="A3" s="4" t="s">
        <v>866</v>
      </c>
      <c r="B3" s="4" t="s">
        <v>219</v>
      </c>
      <c r="C3" s="4" t="s">
        <v>505</v>
      </c>
      <c r="D3" s="4" t="s">
        <v>432</v>
      </c>
      <c r="E3" s="4" t="s">
        <v>867</v>
      </c>
      <c r="F3" s="4" t="s">
        <v>270</v>
      </c>
      <c r="G3" s="4" t="s">
        <v>804</v>
      </c>
      <c r="H3" s="4" t="s">
        <v>548</v>
      </c>
      <c r="I3" s="4" t="s">
        <v>364</v>
      </c>
      <c r="J3" s="4"/>
      <c r="K3" s="4" t="s">
        <v>270</v>
      </c>
      <c r="L3" s="4" t="s">
        <v>181</v>
      </c>
      <c r="M3" s="4" t="s">
        <v>864</v>
      </c>
      <c r="N3" s="4"/>
    </row>
    <row r="4" spans="1:14" ht="27">
      <c r="A4" s="4" t="s">
        <v>868</v>
      </c>
      <c r="B4" s="4" t="s">
        <v>191</v>
      </c>
      <c r="C4" s="4" t="s">
        <v>504</v>
      </c>
      <c r="D4" s="4" t="s">
        <v>423</v>
      </c>
      <c r="E4" s="4" t="s">
        <v>869</v>
      </c>
      <c r="F4" s="4" t="s">
        <v>870</v>
      </c>
      <c r="G4" s="4" t="s">
        <v>871</v>
      </c>
      <c r="H4" s="4" t="s">
        <v>872</v>
      </c>
      <c r="I4" s="4" t="s">
        <v>364</v>
      </c>
      <c r="J4" s="4"/>
      <c r="K4" s="4" t="s">
        <v>873</v>
      </c>
      <c r="L4" s="4" t="s">
        <v>181</v>
      </c>
      <c r="M4" s="4" t="s">
        <v>874</v>
      </c>
      <c r="N4" s="4" t="s">
        <v>875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"/>
  <sheetViews>
    <sheetView workbookViewId="0"/>
  </sheetViews>
  <sheetFormatPr defaultRowHeight="13.5"/>
  <cols>
    <col min="1" max="12" width="18" customWidth="1"/>
    <col min="13" max="13" width="34" customWidth="1"/>
  </cols>
  <sheetData>
    <row r="1" spans="1:13" ht="27.75">
      <c r="A1" s="3" t="s">
        <v>876</v>
      </c>
      <c r="B1" s="3" t="s">
        <v>386</v>
      </c>
      <c r="C1" s="3" t="s">
        <v>489</v>
      </c>
      <c r="D1" s="3" t="s">
        <v>159</v>
      </c>
      <c r="E1" s="3" t="s">
        <v>877</v>
      </c>
      <c r="F1" s="3" t="s">
        <v>878</v>
      </c>
      <c r="G1" s="3" t="s">
        <v>391</v>
      </c>
      <c r="H1" s="3" t="s">
        <v>879</v>
      </c>
      <c r="I1" s="3" t="s">
        <v>880</v>
      </c>
      <c r="J1" s="3" t="s">
        <v>881</v>
      </c>
      <c r="K1" s="3" t="s">
        <v>882</v>
      </c>
      <c r="L1" s="3" t="s">
        <v>883</v>
      </c>
      <c r="M1" s="3" t="s">
        <v>56</v>
      </c>
    </row>
    <row r="2" spans="1:13" ht="40.5">
      <c r="A2" s="4" t="s">
        <v>884</v>
      </c>
      <c r="B2" s="4" t="s">
        <v>399</v>
      </c>
      <c r="C2" s="4" t="s">
        <v>500</v>
      </c>
      <c r="D2" s="4" t="s">
        <v>176</v>
      </c>
      <c r="E2" s="4" t="s">
        <v>885</v>
      </c>
      <c r="F2" s="4" t="s">
        <v>886</v>
      </c>
      <c r="G2" s="4" t="s">
        <v>186</v>
      </c>
      <c r="H2" s="4"/>
      <c r="I2" s="4"/>
      <c r="J2" s="4" t="s">
        <v>181</v>
      </c>
      <c r="K2" s="4" t="s">
        <v>186</v>
      </c>
      <c r="L2" s="4"/>
      <c r="M2" s="4" t="s">
        <v>649</v>
      </c>
    </row>
    <row r="3" spans="1:13">
      <c r="A3" s="4" t="s">
        <v>887</v>
      </c>
      <c r="B3" s="4" t="s">
        <v>423</v>
      </c>
      <c r="C3" s="4" t="s">
        <v>504</v>
      </c>
      <c r="D3" s="4" t="s">
        <v>191</v>
      </c>
      <c r="E3" s="4" t="s">
        <v>888</v>
      </c>
      <c r="F3" s="4" t="s">
        <v>886</v>
      </c>
      <c r="G3" s="4" t="s">
        <v>208</v>
      </c>
      <c r="H3" s="4" t="s">
        <v>179</v>
      </c>
      <c r="I3" s="4"/>
      <c r="J3" s="4" t="s">
        <v>208</v>
      </c>
      <c r="K3" s="4" t="s">
        <v>186</v>
      </c>
      <c r="L3" s="4"/>
      <c r="M3" s="4"/>
    </row>
    <row r="4" spans="1:13">
      <c r="A4" s="4" t="s">
        <v>889</v>
      </c>
      <c r="B4" s="4" t="s">
        <v>432</v>
      </c>
      <c r="C4" s="4" t="s">
        <v>505</v>
      </c>
      <c r="D4" s="4" t="s">
        <v>219</v>
      </c>
      <c r="E4" s="4" t="s">
        <v>888</v>
      </c>
      <c r="F4" s="4" t="s">
        <v>886</v>
      </c>
      <c r="G4" s="4" t="s">
        <v>208</v>
      </c>
      <c r="H4" s="4" t="s">
        <v>179</v>
      </c>
      <c r="I4" s="4"/>
      <c r="J4" s="4" t="s">
        <v>208</v>
      </c>
      <c r="K4" s="4" t="s">
        <v>186</v>
      </c>
      <c r="L4" s="4"/>
      <c r="M4" s="4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4"/>
  <sheetViews>
    <sheetView workbookViewId="0"/>
  </sheetViews>
  <sheetFormatPr defaultRowHeight="13.5"/>
  <cols>
    <col min="1" max="9" width="18" customWidth="1"/>
    <col min="10" max="11" width="34" customWidth="1"/>
    <col min="12" max="12" width="18" customWidth="1"/>
  </cols>
  <sheetData>
    <row r="1" spans="1:12" ht="41.65">
      <c r="A1" s="3" t="s">
        <v>876</v>
      </c>
      <c r="B1" s="3" t="s">
        <v>158</v>
      </c>
      <c r="C1" s="3" t="s">
        <v>386</v>
      </c>
      <c r="D1" s="3" t="s">
        <v>159</v>
      </c>
      <c r="E1" s="3" t="s">
        <v>489</v>
      </c>
      <c r="F1" s="3" t="s">
        <v>890</v>
      </c>
      <c r="G1" s="3" t="s">
        <v>891</v>
      </c>
      <c r="H1" s="3" t="s">
        <v>892</v>
      </c>
      <c r="I1" s="3" t="s">
        <v>893</v>
      </c>
      <c r="J1" s="3" t="s">
        <v>894</v>
      </c>
      <c r="K1" s="3" t="s">
        <v>895</v>
      </c>
      <c r="L1" s="3" t="s">
        <v>51</v>
      </c>
    </row>
    <row r="2" spans="1:12" ht="54">
      <c r="A2" s="4" t="s">
        <v>896</v>
      </c>
      <c r="B2" s="4" t="s">
        <v>218</v>
      </c>
      <c r="C2" s="4" t="s">
        <v>432</v>
      </c>
      <c r="D2" s="4" t="s">
        <v>219</v>
      </c>
      <c r="E2" s="4" t="s">
        <v>505</v>
      </c>
      <c r="F2" s="4" t="s">
        <v>897</v>
      </c>
      <c r="G2" s="4"/>
      <c r="H2" s="4" t="s">
        <v>898</v>
      </c>
      <c r="I2" s="4" t="s">
        <v>899</v>
      </c>
      <c r="J2" s="4" t="s">
        <v>152</v>
      </c>
      <c r="K2" s="4" t="s">
        <v>900</v>
      </c>
      <c r="L2" s="4" t="s">
        <v>119</v>
      </c>
    </row>
    <row r="3" spans="1:12" ht="40.5">
      <c r="A3" s="4" t="s">
        <v>901</v>
      </c>
      <c r="B3" s="4" t="s">
        <v>190</v>
      </c>
      <c r="C3" s="4" t="s">
        <v>423</v>
      </c>
      <c r="D3" s="4" t="s">
        <v>191</v>
      </c>
      <c r="E3" s="4" t="s">
        <v>504</v>
      </c>
      <c r="F3" s="4" t="s">
        <v>902</v>
      </c>
      <c r="G3" s="4"/>
      <c r="H3" s="4" t="s">
        <v>903</v>
      </c>
      <c r="I3" s="4" t="s">
        <v>899</v>
      </c>
      <c r="J3" s="4" t="s">
        <v>154</v>
      </c>
      <c r="K3" s="4" t="s">
        <v>904</v>
      </c>
      <c r="L3" s="4" t="s">
        <v>119</v>
      </c>
    </row>
    <row r="4" spans="1:12" ht="27">
      <c r="A4" s="4" t="s">
        <v>905</v>
      </c>
      <c r="B4" s="4" t="s">
        <v>175</v>
      </c>
      <c r="C4" s="4" t="s">
        <v>399</v>
      </c>
      <c r="D4" s="4" t="s">
        <v>176</v>
      </c>
      <c r="E4" s="4" t="s">
        <v>500</v>
      </c>
      <c r="F4" s="4" t="s">
        <v>906</v>
      </c>
      <c r="G4" s="4"/>
      <c r="H4" s="4" t="s">
        <v>907</v>
      </c>
      <c r="I4" s="4" t="s">
        <v>899</v>
      </c>
      <c r="J4" s="4" t="s">
        <v>152</v>
      </c>
      <c r="K4" s="4" t="s">
        <v>563</v>
      </c>
      <c r="L4" s="4" t="s">
        <v>181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"/>
  <sheetViews>
    <sheetView workbookViewId="0"/>
  </sheetViews>
  <sheetFormatPr defaultRowHeight="13.5"/>
  <cols>
    <col min="1" max="8" width="18" customWidth="1"/>
    <col min="9" max="10" width="34" customWidth="1"/>
    <col min="11" max="13" width="18" customWidth="1"/>
  </cols>
  <sheetData>
    <row r="1" spans="1:13" ht="27.75">
      <c r="A1" s="3" t="s">
        <v>908</v>
      </c>
      <c r="B1" s="3" t="s">
        <v>909</v>
      </c>
      <c r="C1" s="3" t="s">
        <v>910</v>
      </c>
      <c r="D1" s="3" t="s">
        <v>158</v>
      </c>
      <c r="E1" s="3" t="s">
        <v>386</v>
      </c>
      <c r="F1" s="3" t="s">
        <v>159</v>
      </c>
      <c r="G1" s="3" t="s">
        <v>489</v>
      </c>
      <c r="H1" s="3" t="s">
        <v>911</v>
      </c>
      <c r="I1" s="3" t="s">
        <v>912</v>
      </c>
      <c r="J1" s="3" t="s">
        <v>276</v>
      </c>
      <c r="K1" s="3" t="s">
        <v>275</v>
      </c>
      <c r="L1" s="3" t="s">
        <v>328</v>
      </c>
      <c r="M1" s="3" t="s">
        <v>51</v>
      </c>
    </row>
    <row r="2" spans="1:13" ht="27">
      <c r="A2" s="4" t="s">
        <v>913</v>
      </c>
      <c r="B2" s="4"/>
      <c r="C2" s="4" t="s">
        <v>250</v>
      </c>
      <c r="D2" s="4" t="s">
        <v>175</v>
      </c>
      <c r="E2" s="4"/>
      <c r="F2" s="4" t="s">
        <v>176</v>
      </c>
      <c r="G2" s="4"/>
      <c r="H2" s="4" t="s">
        <v>914</v>
      </c>
      <c r="I2" s="4" t="s">
        <v>915</v>
      </c>
      <c r="J2" s="4" t="s">
        <v>916</v>
      </c>
      <c r="K2" s="4" t="s">
        <v>187</v>
      </c>
      <c r="L2" s="4"/>
      <c r="M2" s="4" t="s">
        <v>632</v>
      </c>
    </row>
    <row r="3" spans="1:13">
      <c r="A3" s="4" t="s">
        <v>917</v>
      </c>
      <c r="B3" s="4"/>
      <c r="C3" s="4" t="s">
        <v>270</v>
      </c>
      <c r="D3" s="4"/>
      <c r="E3" s="4" t="s">
        <v>399</v>
      </c>
      <c r="F3" s="4" t="s">
        <v>176</v>
      </c>
      <c r="G3" s="4" t="s">
        <v>500</v>
      </c>
      <c r="H3" s="4" t="s">
        <v>918</v>
      </c>
      <c r="I3" s="4" t="s">
        <v>919</v>
      </c>
      <c r="J3" s="4" t="s">
        <v>920</v>
      </c>
      <c r="K3" s="4" t="s">
        <v>216</v>
      </c>
      <c r="L3" s="4"/>
      <c r="M3" s="4" t="s">
        <v>632</v>
      </c>
    </row>
    <row r="4" spans="1:13">
      <c r="A4" s="4" t="s">
        <v>921</v>
      </c>
      <c r="B4" s="4"/>
      <c r="C4" s="4" t="s">
        <v>922</v>
      </c>
      <c r="D4" s="4" t="s">
        <v>218</v>
      </c>
      <c r="E4" s="4" t="s">
        <v>432</v>
      </c>
      <c r="F4" s="4" t="s">
        <v>219</v>
      </c>
      <c r="G4" s="4" t="s">
        <v>505</v>
      </c>
      <c r="H4" s="4" t="s">
        <v>923</v>
      </c>
      <c r="I4" s="4" t="s">
        <v>924</v>
      </c>
      <c r="J4" s="4" t="s">
        <v>925</v>
      </c>
      <c r="K4" s="4" t="s">
        <v>304</v>
      </c>
      <c r="L4" s="4"/>
      <c r="M4" s="4" t="s">
        <v>632</v>
      </c>
    </row>
    <row r="5" spans="1:13">
      <c r="A5" s="4" t="s">
        <v>926</v>
      </c>
      <c r="B5" s="4"/>
      <c r="C5" s="4" t="s">
        <v>250</v>
      </c>
      <c r="D5" s="4" t="s">
        <v>218</v>
      </c>
      <c r="E5" s="4"/>
      <c r="F5" s="4" t="s">
        <v>219</v>
      </c>
      <c r="G5" s="4" t="s">
        <v>505</v>
      </c>
      <c r="H5" s="4" t="s">
        <v>163</v>
      </c>
      <c r="I5" s="4" t="s">
        <v>927</v>
      </c>
      <c r="J5" s="4" t="s">
        <v>928</v>
      </c>
      <c r="K5" s="4" t="s">
        <v>304</v>
      </c>
      <c r="L5" s="4"/>
      <c r="M5" s="4" t="s">
        <v>632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3"/>
  <sheetViews>
    <sheetView workbookViewId="0"/>
  </sheetViews>
  <sheetFormatPr defaultRowHeight="13.5"/>
  <cols>
    <col min="1" max="13" width="18" customWidth="1"/>
    <col min="14" max="14" width="34" customWidth="1"/>
  </cols>
  <sheetData>
    <row r="1" spans="1:14" ht="27.75">
      <c r="A1" s="3" t="s">
        <v>929</v>
      </c>
      <c r="B1" s="3" t="s">
        <v>489</v>
      </c>
      <c r="C1" s="3" t="s">
        <v>159</v>
      </c>
      <c r="D1" s="3" t="s">
        <v>158</v>
      </c>
      <c r="E1" s="3" t="s">
        <v>386</v>
      </c>
      <c r="F1" s="3" t="s">
        <v>491</v>
      </c>
      <c r="G1" s="3" t="s">
        <v>499</v>
      </c>
      <c r="H1" s="3" t="s">
        <v>930</v>
      </c>
      <c r="I1" s="3" t="s">
        <v>931</v>
      </c>
      <c r="J1" s="3" t="s">
        <v>932</v>
      </c>
      <c r="K1" s="3" t="s">
        <v>933</v>
      </c>
      <c r="L1" s="3" t="s">
        <v>934</v>
      </c>
      <c r="M1" s="3" t="s">
        <v>51</v>
      </c>
      <c r="N1" s="3" t="s">
        <v>56</v>
      </c>
    </row>
    <row r="2" spans="1:14" ht="27">
      <c r="A2" s="4" t="s">
        <v>935</v>
      </c>
      <c r="B2" s="4" t="s">
        <v>505</v>
      </c>
      <c r="C2" s="4" t="s">
        <v>219</v>
      </c>
      <c r="D2" s="4" t="s">
        <v>218</v>
      </c>
      <c r="E2" s="4" t="s">
        <v>432</v>
      </c>
      <c r="F2" s="4"/>
      <c r="G2" s="4"/>
      <c r="H2" s="4" t="s">
        <v>208</v>
      </c>
      <c r="I2" s="4" t="s">
        <v>181</v>
      </c>
      <c r="J2" s="4" t="s">
        <v>364</v>
      </c>
      <c r="K2" s="4" t="s">
        <v>181</v>
      </c>
      <c r="L2" s="4"/>
      <c r="M2" s="4" t="s">
        <v>668</v>
      </c>
      <c r="N2" s="4" t="s">
        <v>936</v>
      </c>
    </row>
    <row r="3" spans="1:14">
      <c r="A3" s="4" t="s">
        <v>937</v>
      </c>
      <c r="B3" s="4" t="s">
        <v>504</v>
      </c>
      <c r="C3" s="4" t="s">
        <v>191</v>
      </c>
      <c r="D3" s="4" t="s">
        <v>190</v>
      </c>
      <c r="E3" s="4" t="s">
        <v>423</v>
      </c>
      <c r="F3" s="4"/>
      <c r="G3" s="4"/>
      <c r="H3" s="4" t="s">
        <v>181</v>
      </c>
      <c r="I3" s="4" t="s">
        <v>181</v>
      </c>
      <c r="J3" s="4" t="s">
        <v>364</v>
      </c>
      <c r="K3" s="4" t="s">
        <v>181</v>
      </c>
      <c r="L3" s="4"/>
      <c r="M3" s="4" t="s">
        <v>668</v>
      </c>
      <c r="N3" s="4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3"/>
  <sheetViews>
    <sheetView workbookViewId="0"/>
  </sheetViews>
  <sheetFormatPr defaultRowHeight="13.5"/>
  <cols>
    <col min="1" max="13" width="18" customWidth="1"/>
    <col min="14" max="14" width="34" customWidth="1"/>
  </cols>
  <sheetData>
    <row r="1" spans="1:14" ht="27.75">
      <c r="A1" s="3" t="s">
        <v>938</v>
      </c>
      <c r="B1" s="3" t="s">
        <v>489</v>
      </c>
      <c r="C1" s="3" t="s">
        <v>159</v>
      </c>
      <c r="D1" s="3" t="s">
        <v>158</v>
      </c>
      <c r="E1" s="3" t="s">
        <v>386</v>
      </c>
      <c r="F1" s="3" t="s">
        <v>939</v>
      </c>
      <c r="G1" s="3" t="s">
        <v>940</v>
      </c>
      <c r="H1" s="3" t="s">
        <v>941</v>
      </c>
      <c r="I1" s="3" t="s">
        <v>942</v>
      </c>
      <c r="J1" s="3" t="s">
        <v>943</v>
      </c>
      <c r="K1" s="3" t="s">
        <v>944</v>
      </c>
      <c r="L1" s="3" t="s">
        <v>945</v>
      </c>
      <c r="M1" s="3" t="s">
        <v>51</v>
      </c>
      <c r="N1" s="3" t="s">
        <v>56</v>
      </c>
    </row>
    <row r="2" spans="1:14" ht="27">
      <c r="A2" s="4" t="s">
        <v>946</v>
      </c>
      <c r="B2" s="4" t="s">
        <v>505</v>
      </c>
      <c r="C2" s="4" t="s">
        <v>219</v>
      </c>
      <c r="D2" s="4" t="s">
        <v>218</v>
      </c>
      <c r="E2" s="4" t="s">
        <v>432</v>
      </c>
      <c r="F2" s="4" t="s">
        <v>947</v>
      </c>
      <c r="G2" s="4"/>
      <c r="H2" s="4"/>
      <c r="I2" s="4" t="s">
        <v>873</v>
      </c>
      <c r="J2" s="4" t="s">
        <v>948</v>
      </c>
      <c r="K2" s="4" t="s">
        <v>873</v>
      </c>
      <c r="L2" s="4" t="s">
        <v>873</v>
      </c>
      <c r="M2" s="4" t="s">
        <v>668</v>
      </c>
      <c r="N2" s="4" t="s">
        <v>949</v>
      </c>
    </row>
    <row r="3" spans="1:14" ht="40.5">
      <c r="A3" s="4" t="s">
        <v>950</v>
      </c>
      <c r="B3" s="4" t="s">
        <v>504</v>
      </c>
      <c r="C3" s="4" t="s">
        <v>191</v>
      </c>
      <c r="D3" s="4" t="s">
        <v>190</v>
      </c>
      <c r="E3" s="4" t="s">
        <v>423</v>
      </c>
      <c r="F3" s="4" t="s">
        <v>951</v>
      </c>
      <c r="G3" s="4"/>
      <c r="H3" s="4"/>
      <c r="I3" s="4" t="s">
        <v>186</v>
      </c>
      <c r="J3" s="4" t="s">
        <v>952</v>
      </c>
      <c r="K3" s="4" t="s">
        <v>873</v>
      </c>
      <c r="L3" s="4" t="s">
        <v>208</v>
      </c>
      <c r="M3" s="4" t="s">
        <v>668</v>
      </c>
      <c r="N3" s="4" t="s">
        <v>953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9"/>
  <sheetViews>
    <sheetView workbookViewId="0"/>
  </sheetViews>
  <sheetFormatPr defaultRowHeight="13.5"/>
  <cols>
    <col min="1" max="3" width="34" customWidth="1"/>
    <col min="4" max="5" width="18" customWidth="1"/>
    <col min="6" max="6" width="34" customWidth="1"/>
    <col min="7" max="10" width="18" customWidth="1"/>
  </cols>
  <sheetData>
    <row r="1" spans="1:10" ht="13.9">
      <c r="A1" s="3" t="s">
        <v>954</v>
      </c>
      <c r="B1" s="3" t="s">
        <v>955</v>
      </c>
      <c r="C1" s="3" t="s">
        <v>821</v>
      </c>
      <c r="D1" s="3" t="s">
        <v>956</v>
      </c>
      <c r="E1" s="3" t="s">
        <v>957</v>
      </c>
      <c r="F1" s="3" t="s">
        <v>730</v>
      </c>
      <c r="G1" s="3" t="s">
        <v>958</v>
      </c>
      <c r="H1" s="3" t="s">
        <v>250</v>
      </c>
      <c r="I1" s="3" t="s">
        <v>959</v>
      </c>
      <c r="J1" s="3" t="s">
        <v>51</v>
      </c>
    </row>
    <row r="2" spans="1:10" ht="54">
      <c r="A2" s="4" t="s">
        <v>960</v>
      </c>
      <c r="B2" s="4" t="s">
        <v>781</v>
      </c>
      <c r="C2" s="4" t="s">
        <v>961</v>
      </c>
      <c r="D2" s="4" t="s">
        <v>152</v>
      </c>
      <c r="E2" s="4" t="s">
        <v>154</v>
      </c>
      <c r="F2" s="4" t="s">
        <v>154</v>
      </c>
      <c r="G2" s="4" t="s">
        <v>962</v>
      </c>
      <c r="H2" s="4" t="s">
        <v>187</v>
      </c>
      <c r="I2" s="4"/>
      <c r="J2" s="4" t="s">
        <v>632</v>
      </c>
    </row>
    <row r="3" spans="1:10" ht="67.5">
      <c r="A3" s="4" t="s">
        <v>963</v>
      </c>
      <c r="B3" s="4" t="s">
        <v>964</v>
      </c>
      <c r="C3" s="4" t="s">
        <v>965</v>
      </c>
      <c r="D3" s="4" t="s">
        <v>149</v>
      </c>
      <c r="E3" s="4" t="s">
        <v>154</v>
      </c>
      <c r="F3" s="4" t="s">
        <v>154</v>
      </c>
      <c r="G3" s="4" t="s">
        <v>966</v>
      </c>
      <c r="H3" s="4" t="s">
        <v>304</v>
      </c>
      <c r="I3" s="4"/>
      <c r="J3" s="4" t="s">
        <v>632</v>
      </c>
    </row>
    <row r="4" spans="1:10" ht="54">
      <c r="A4" s="4" t="s">
        <v>967</v>
      </c>
      <c r="B4" s="4" t="s">
        <v>968</v>
      </c>
      <c r="C4" s="4" t="s">
        <v>969</v>
      </c>
      <c r="D4" s="4" t="s">
        <v>152</v>
      </c>
      <c r="E4" s="4" t="s">
        <v>154</v>
      </c>
      <c r="F4" s="4" t="s">
        <v>154</v>
      </c>
      <c r="G4" s="4" t="s">
        <v>970</v>
      </c>
      <c r="H4" s="4" t="s">
        <v>187</v>
      </c>
      <c r="I4" s="4"/>
      <c r="J4" s="4" t="s">
        <v>632</v>
      </c>
    </row>
    <row r="5" spans="1:10" ht="40.5">
      <c r="A5" s="4" t="s">
        <v>971</v>
      </c>
      <c r="B5" s="4" t="s">
        <v>972</v>
      </c>
      <c r="C5" s="4" t="s">
        <v>973</v>
      </c>
      <c r="D5" s="4" t="s">
        <v>152</v>
      </c>
      <c r="E5" s="4" t="s">
        <v>154</v>
      </c>
      <c r="F5" s="4" t="s">
        <v>154</v>
      </c>
      <c r="G5" s="4" t="s">
        <v>974</v>
      </c>
      <c r="H5" s="4" t="s">
        <v>216</v>
      </c>
      <c r="I5" s="4"/>
      <c r="J5" s="4" t="s">
        <v>632</v>
      </c>
    </row>
    <row r="6" spans="1:10" ht="40.5">
      <c r="A6" s="4" t="s">
        <v>975</v>
      </c>
      <c r="B6" s="4" t="s">
        <v>976</v>
      </c>
      <c r="C6" s="4" t="s">
        <v>977</v>
      </c>
      <c r="D6" s="4" t="s">
        <v>152</v>
      </c>
      <c r="E6" s="4" t="s">
        <v>152</v>
      </c>
      <c r="F6" s="4" t="s">
        <v>152</v>
      </c>
      <c r="G6" s="4" t="s">
        <v>978</v>
      </c>
      <c r="H6" s="4" t="s">
        <v>187</v>
      </c>
      <c r="I6" s="4"/>
      <c r="J6" s="4" t="s">
        <v>632</v>
      </c>
    </row>
    <row r="7" spans="1:10" ht="54">
      <c r="A7" s="4" t="s">
        <v>979</v>
      </c>
      <c r="B7" s="4" t="s">
        <v>980</v>
      </c>
      <c r="C7" s="4" t="s">
        <v>981</v>
      </c>
      <c r="D7" s="4" t="s">
        <v>152</v>
      </c>
      <c r="E7" s="4" t="s">
        <v>152</v>
      </c>
      <c r="F7" s="4" t="s">
        <v>152</v>
      </c>
      <c r="G7" s="4" t="s">
        <v>982</v>
      </c>
      <c r="H7" s="4" t="s">
        <v>317</v>
      </c>
      <c r="I7" s="4"/>
      <c r="J7" s="4" t="s">
        <v>632</v>
      </c>
    </row>
    <row r="8" spans="1:10" ht="54">
      <c r="A8" s="4" t="s">
        <v>983</v>
      </c>
      <c r="B8" s="4" t="s">
        <v>984</v>
      </c>
      <c r="C8" s="4" t="s">
        <v>985</v>
      </c>
      <c r="D8" s="4" t="s">
        <v>152</v>
      </c>
      <c r="E8" s="4" t="s">
        <v>152</v>
      </c>
      <c r="F8" s="4" t="s">
        <v>152</v>
      </c>
      <c r="G8" s="4" t="s">
        <v>986</v>
      </c>
      <c r="H8" s="4" t="s">
        <v>304</v>
      </c>
      <c r="I8" s="4"/>
      <c r="J8" s="4" t="s">
        <v>632</v>
      </c>
    </row>
    <row r="9" spans="1:10" ht="40.5">
      <c r="A9" s="4" t="s">
        <v>987</v>
      </c>
      <c r="B9" s="4" t="s">
        <v>988</v>
      </c>
      <c r="C9" s="4" t="s">
        <v>989</v>
      </c>
      <c r="D9" s="4" t="s">
        <v>152</v>
      </c>
      <c r="E9" s="4" t="s">
        <v>154</v>
      </c>
      <c r="F9" s="4" t="s">
        <v>154</v>
      </c>
      <c r="G9" s="4" t="s">
        <v>990</v>
      </c>
      <c r="H9" s="4" t="s">
        <v>991</v>
      </c>
      <c r="I9" s="4"/>
      <c r="J9" s="4" t="s">
        <v>632</v>
      </c>
    </row>
  </sheetData>
  <dataValidations count="1">
    <dataValidation type="list" sqref="J2:J200" xr:uid="{00000000-0002-0000-1F00-000000000000}">
      <formula1>"Pending,Open,In Progress,Completed,Closed,Approved,Rejected,Hold,Planned,Future,Active,Paid,Unpaid,Partial"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5"/>
  <sheetViews>
    <sheetView workbookViewId="0"/>
  </sheetViews>
  <sheetFormatPr defaultRowHeight="13.5"/>
  <cols>
    <col min="1" max="6" width="18" customWidth="1"/>
    <col min="7" max="7" width="34" customWidth="1"/>
  </cols>
  <sheetData>
    <row r="1" spans="1:7" ht="13.9">
      <c r="A1" s="3" t="s">
        <v>992</v>
      </c>
      <c r="B1" s="3" t="s">
        <v>993</v>
      </c>
      <c r="C1" s="3" t="s">
        <v>994</v>
      </c>
      <c r="D1" s="3" t="s">
        <v>995</v>
      </c>
      <c r="E1" s="3" t="s">
        <v>275</v>
      </c>
      <c r="F1" s="3" t="s">
        <v>996</v>
      </c>
      <c r="G1" s="3" t="s">
        <v>56</v>
      </c>
    </row>
    <row r="2" spans="1:7" ht="27">
      <c r="A2" s="4" t="s">
        <v>997</v>
      </c>
      <c r="B2" s="4" t="s">
        <v>998</v>
      </c>
      <c r="C2" s="4"/>
      <c r="D2" s="4" t="s">
        <v>59</v>
      </c>
      <c r="E2" s="4" t="s">
        <v>187</v>
      </c>
      <c r="F2" s="4" t="s">
        <v>999</v>
      </c>
      <c r="G2" s="4"/>
    </row>
    <row r="3" spans="1:7" ht="40.5">
      <c r="A3" s="4" t="s">
        <v>1000</v>
      </c>
      <c r="B3" s="4" t="s">
        <v>1001</v>
      </c>
      <c r="C3" s="4"/>
      <c r="D3" s="4" t="s">
        <v>1002</v>
      </c>
      <c r="E3" s="4" t="s">
        <v>187</v>
      </c>
      <c r="F3" s="4" t="s">
        <v>999</v>
      </c>
      <c r="G3" s="4"/>
    </row>
    <row r="4" spans="1:7" ht="27">
      <c r="A4" s="4" t="s">
        <v>1003</v>
      </c>
      <c r="B4" s="4" t="s">
        <v>1004</v>
      </c>
      <c r="C4" s="4"/>
      <c r="D4" s="4" t="s">
        <v>26</v>
      </c>
      <c r="E4" s="4" t="s">
        <v>216</v>
      </c>
      <c r="F4" s="4" t="s">
        <v>999</v>
      </c>
      <c r="G4" s="4"/>
    </row>
    <row r="5" spans="1:7" ht="27">
      <c r="A5" s="4" t="s">
        <v>1005</v>
      </c>
      <c r="B5" s="4" t="s">
        <v>1006</v>
      </c>
      <c r="C5" s="4"/>
      <c r="D5" s="4" t="s">
        <v>73</v>
      </c>
      <c r="E5" s="4" t="s">
        <v>280</v>
      </c>
      <c r="F5" s="4" t="s">
        <v>999</v>
      </c>
      <c r="G5" s="4"/>
    </row>
    <row r="6" spans="1:7" ht="40.5">
      <c r="A6" s="4" t="s">
        <v>1007</v>
      </c>
      <c r="B6" s="4" t="s">
        <v>1006</v>
      </c>
      <c r="C6" s="4"/>
      <c r="D6" s="4" t="s">
        <v>1008</v>
      </c>
      <c r="E6" s="4" t="s">
        <v>304</v>
      </c>
      <c r="F6" s="4" t="s">
        <v>999</v>
      </c>
      <c r="G6" s="4"/>
    </row>
    <row r="7" spans="1:7" ht="27">
      <c r="A7" s="4" t="s">
        <v>1009</v>
      </c>
      <c r="B7" s="4" t="s">
        <v>1010</v>
      </c>
      <c r="C7" s="4"/>
      <c r="D7" s="4" t="s">
        <v>11</v>
      </c>
      <c r="E7" s="4" t="s">
        <v>304</v>
      </c>
      <c r="F7" s="4" t="s">
        <v>872</v>
      </c>
      <c r="G7" s="4"/>
    </row>
    <row r="8" spans="1:7" ht="27">
      <c r="A8" s="4" t="s">
        <v>1011</v>
      </c>
      <c r="B8" s="4" t="s">
        <v>1012</v>
      </c>
      <c r="C8" s="4"/>
      <c r="D8" s="4" t="s">
        <v>102</v>
      </c>
      <c r="E8" s="4" t="s">
        <v>1013</v>
      </c>
      <c r="F8" s="4" t="s">
        <v>999</v>
      </c>
      <c r="G8" s="4"/>
    </row>
    <row r="9" spans="1:7" ht="40.5">
      <c r="A9" s="4" t="s">
        <v>1014</v>
      </c>
      <c r="B9" s="4" t="s">
        <v>1006</v>
      </c>
      <c r="C9" s="4"/>
      <c r="D9" s="4" t="s">
        <v>18</v>
      </c>
      <c r="E9" s="4" t="s">
        <v>304</v>
      </c>
      <c r="F9" s="4" t="s">
        <v>872</v>
      </c>
      <c r="G9" s="4"/>
    </row>
    <row r="10" spans="1:7" ht="40.5">
      <c r="A10" s="4" t="s">
        <v>1015</v>
      </c>
      <c r="B10" s="4" t="s">
        <v>1010</v>
      </c>
      <c r="C10" s="4"/>
      <c r="D10" s="4" t="s">
        <v>1016</v>
      </c>
      <c r="E10" s="4" t="s">
        <v>304</v>
      </c>
      <c r="F10" s="4" t="s">
        <v>872</v>
      </c>
      <c r="G10" s="4"/>
    </row>
    <row r="11" spans="1:7" ht="27">
      <c r="A11" s="4" t="s">
        <v>1017</v>
      </c>
      <c r="B11" s="4" t="s">
        <v>1018</v>
      </c>
      <c r="C11" s="4"/>
      <c r="D11" s="4" t="s">
        <v>30</v>
      </c>
      <c r="E11" s="4" t="s">
        <v>187</v>
      </c>
      <c r="F11" s="4" t="s">
        <v>872</v>
      </c>
      <c r="G11" s="4"/>
    </row>
    <row r="12" spans="1:7" ht="27">
      <c r="A12" s="4" t="s">
        <v>1019</v>
      </c>
      <c r="B12" s="4" t="s">
        <v>1020</v>
      </c>
      <c r="C12" s="4"/>
      <c r="D12" s="4" t="s">
        <v>22</v>
      </c>
      <c r="E12" s="4" t="s">
        <v>187</v>
      </c>
      <c r="F12" s="4" t="s">
        <v>999</v>
      </c>
      <c r="G12" s="4"/>
    </row>
    <row r="13" spans="1:7" ht="27">
      <c r="A13" s="4" t="s">
        <v>1021</v>
      </c>
      <c r="B13" s="4" t="s">
        <v>1022</v>
      </c>
      <c r="C13" s="4"/>
      <c r="D13" s="4" t="s">
        <v>1023</v>
      </c>
      <c r="E13" s="4" t="s">
        <v>187</v>
      </c>
      <c r="F13" s="4" t="s">
        <v>999</v>
      </c>
      <c r="G13" s="4"/>
    </row>
    <row r="14" spans="1:7" ht="54">
      <c r="A14" s="4" t="s">
        <v>1024</v>
      </c>
      <c r="B14" s="4" t="s">
        <v>1006</v>
      </c>
      <c r="C14" s="4"/>
      <c r="D14" s="4" t="s">
        <v>1025</v>
      </c>
      <c r="E14" s="4" t="s">
        <v>187</v>
      </c>
      <c r="F14" s="4" t="s">
        <v>1026</v>
      </c>
      <c r="G14" s="4"/>
    </row>
    <row r="15" spans="1:7" ht="27">
      <c r="A15" s="4" t="s">
        <v>1027</v>
      </c>
      <c r="B15" s="4" t="s">
        <v>366</v>
      </c>
      <c r="C15" s="4"/>
      <c r="D15" s="4" t="s">
        <v>1028</v>
      </c>
      <c r="E15" s="4" t="s">
        <v>991</v>
      </c>
      <c r="F15" s="4" t="s">
        <v>872</v>
      </c>
      <c r="G15" s="4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7"/>
  <sheetViews>
    <sheetView workbookViewId="0"/>
  </sheetViews>
  <sheetFormatPr defaultRowHeight="13.5"/>
  <cols>
    <col min="1" max="3" width="18" customWidth="1"/>
    <col min="4" max="4" width="34" customWidth="1"/>
    <col min="5" max="6" width="18" customWidth="1"/>
    <col min="7" max="7" width="34" customWidth="1"/>
  </cols>
  <sheetData>
    <row r="1" spans="1:7" ht="27.75">
      <c r="A1" s="3" t="s">
        <v>1029</v>
      </c>
      <c r="B1" s="3" t="s">
        <v>1030</v>
      </c>
      <c r="C1" s="3" t="s">
        <v>1031</v>
      </c>
      <c r="D1" s="3" t="s">
        <v>1032</v>
      </c>
      <c r="E1" s="3" t="s">
        <v>1033</v>
      </c>
      <c r="F1" s="3" t="s">
        <v>148</v>
      </c>
      <c r="G1" s="3" t="s">
        <v>56</v>
      </c>
    </row>
    <row r="2" spans="1:7" ht="67.5">
      <c r="A2" s="4" t="s">
        <v>1034</v>
      </c>
      <c r="B2" s="4" t="s">
        <v>1035</v>
      </c>
      <c r="C2" s="4" t="s">
        <v>1036</v>
      </c>
      <c r="D2" s="4" t="s">
        <v>1037</v>
      </c>
      <c r="E2" s="4" t="s">
        <v>1038</v>
      </c>
      <c r="F2" s="4" t="s">
        <v>154</v>
      </c>
      <c r="G2" s="4"/>
    </row>
    <row r="3" spans="1:7" ht="54">
      <c r="A3" s="4" t="s">
        <v>63</v>
      </c>
      <c r="B3" s="4" t="s">
        <v>1039</v>
      </c>
      <c r="C3" s="4" t="s">
        <v>1040</v>
      </c>
      <c r="D3" s="4" t="s">
        <v>1041</v>
      </c>
      <c r="E3" s="4" t="s">
        <v>187</v>
      </c>
      <c r="F3" s="4" t="s">
        <v>154</v>
      </c>
      <c r="G3" s="4"/>
    </row>
    <row r="4" spans="1:7" ht="54">
      <c r="A4" s="4" t="s">
        <v>1042</v>
      </c>
      <c r="B4" s="4" t="s">
        <v>1043</v>
      </c>
      <c r="C4" s="4" t="s">
        <v>1044</v>
      </c>
      <c r="D4" s="4" t="s">
        <v>1045</v>
      </c>
      <c r="E4" s="4" t="s">
        <v>216</v>
      </c>
      <c r="F4" s="4" t="s">
        <v>154</v>
      </c>
      <c r="G4" s="4"/>
    </row>
    <row r="5" spans="1:7" ht="67.5">
      <c r="A5" s="4" t="s">
        <v>1046</v>
      </c>
      <c r="B5" s="4" t="s">
        <v>1047</v>
      </c>
      <c r="C5" s="4" t="s">
        <v>1048</v>
      </c>
      <c r="D5" s="4" t="s">
        <v>1049</v>
      </c>
      <c r="E5" s="4" t="s">
        <v>216</v>
      </c>
      <c r="F5" s="4" t="s">
        <v>154</v>
      </c>
      <c r="G5" s="4"/>
    </row>
    <row r="6" spans="1:7" ht="54">
      <c r="A6" s="4" t="s">
        <v>1050</v>
      </c>
      <c r="B6" s="4" t="s">
        <v>1051</v>
      </c>
      <c r="C6" s="4" t="s">
        <v>1052</v>
      </c>
      <c r="D6" s="4" t="s">
        <v>1053</v>
      </c>
      <c r="E6" s="4" t="s">
        <v>280</v>
      </c>
      <c r="F6" s="4" t="s">
        <v>154</v>
      </c>
      <c r="G6" s="4"/>
    </row>
    <row r="7" spans="1:7" ht="54">
      <c r="A7" s="4" t="s">
        <v>1054</v>
      </c>
      <c r="B7" s="4" t="s">
        <v>1055</v>
      </c>
      <c r="C7" s="4" t="s">
        <v>1056</v>
      </c>
      <c r="D7" s="4" t="s">
        <v>1057</v>
      </c>
      <c r="E7" s="4" t="s">
        <v>304</v>
      </c>
      <c r="F7" s="4" t="s">
        <v>154</v>
      </c>
      <c r="G7" s="4"/>
    </row>
    <row r="8" spans="1:7" ht="67.5">
      <c r="A8" s="4" t="s">
        <v>1058</v>
      </c>
      <c r="B8" s="4" t="s">
        <v>1059</v>
      </c>
      <c r="C8" s="4" t="s">
        <v>1060</v>
      </c>
      <c r="D8" s="4" t="s">
        <v>1061</v>
      </c>
      <c r="E8" s="4" t="s">
        <v>304</v>
      </c>
      <c r="F8" s="4" t="s">
        <v>154</v>
      </c>
      <c r="G8" s="4"/>
    </row>
    <row r="9" spans="1:7" ht="54">
      <c r="A9" s="4" t="s">
        <v>1062</v>
      </c>
      <c r="B9" s="4" t="s">
        <v>1063</v>
      </c>
      <c r="C9" s="4" t="s">
        <v>1064</v>
      </c>
      <c r="D9" s="4" t="s">
        <v>1065</v>
      </c>
      <c r="E9" s="4" t="s">
        <v>1013</v>
      </c>
      <c r="F9" s="4" t="s">
        <v>154</v>
      </c>
      <c r="G9" s="4"/>
    </row>
    <row r="10" spans="1:7" ht="54">
      <c r="A10" s="4" t="s">
        <v>1066</v>
      </c>
      <c r="B10" s="4" t="s">
        <v>1067</v>
      </c>
      <c r="C10" s="4" t="s">
        <v>1068</v>
      </c>
      <c r="D10" s="4" t="s">
        <v>1069</v>
      </c>
      <c r="E10" s="4" t="s">
        <v>1070</v>
      </c>
      <c r="F10" s="4" t="s">
        <v>154</v>
      </c>
      <c r="G10" s="4"/>
    </row>
    <row r="11" spans="1:7" ht="54">
      <c r="A11" s="4" t="s">
        <v>1071</v>
      </c>
      <c r="B11" s="4" t="s">
        <v>1072</v>
      </c>
      <c r="C11" s="4" t="s">
        <v>1073</v>
      </c>
      <c r="D11" s="4" t="s">
        <v>1074</v>
      </c>
      <c r="E11" s="4" t="s">
        <v>187</v>
      </c>
      <c r="F11" s="4" t="s">
        <v>154</v>
      </c>
      <c r="G11" s="4"/>
    </row>
    <row r="12" spans="1:7" ht="54">
      <c r="A12" s="4" t="s">
        <v>1075</v>
      </c>
      <c r="B12" s="4" t="s">
        <v>1076</v>
      </c>
      <c r="C12" s="4" t="s">
        <v>1077</v>
      </c>
      <c r="D12" s="4" t="s">
        <v>1078</v>
      </c>
      <c r="E12" s="4" t="s">
        <v>317</v>
      </c>
      <c r="F12" s="4" t="s">
        <v>154</v>
      </c>
      <c r="G12" s="4"/>
    </row>
    <row r="13" spans="1:7" ht="40.5">
      <c r="A13" s="4" t="s">
        <v>1079</v>
      </c>
      <c r="B13" s="4" t="s">
        <v>1080</v>
      </c>
      <c r="C13" s="4" t="s">
        <v>1081</v>
      </c>
      <c r="D13" s="4" t="s">
        <v>1082</v>
      </c>
      <c r="E13" s="4" t="s">
        <v>1083</v>
      </c>
      <c r="F13" s="4" t="s">
        <v>154</v>
      </c>
      <c r="G13" s="4"/>
    </row>
    <row r="14" spans="1:7" ht="40.5">
      <c r="A14" s="4" t="s">
        <v>1084</v>
      </c>
      <c r="B14" s="4" t="s">
        <v>1085</v>
      </c>
      <c r="C14" s="4" t="s">
        <v>1086</v>
      </c>
      <c r="D14" s="4" t="s">
        <v>1087</v>
      </c>
      <c r="E14" s="4" t="s">
        <v>187</v>
      </c>
      <c r="F14" s="4" t="s">
        <v>152</v>
      </c>
      <c r="G14" s="4"/>
    </row>
    <row r="15" spans="1:7" ht="54">
      <c r="A15" s="4" t="s">
        <v>1088</v>
      </c>
      <c r="B15" s="4" t="s">
        <v>1089</v>
      </c>
      <c r="C15" s="4" t="s">
        <v>1090</v>
      </c>
      <c r="D15" s="4" t="s">
        <v>1091</v>
      </c>
      <c r="E15" s="4" t="s">
        <v>187</v>
      </c>
      <c r="F15" s="4" t="s">
        <v>152</v>
      </c>
      <c r="G15" s="4"/>
    </row>
    <row r="16" spans="1:7" ht="67.5">
      <c r="A16" s="4" t="s">
        <v>988</v>
      </c>
      <c r="B16" s="4" t="s">
        <v>1092</v>
      </c>
      <c r="C16" s="4" t="s">
        <v>1093</v>
      </c>
      <c r="D16" s="4" t="s">
        <v>1094</v>
      </c>
      <c r="E16" s="4" t="s">
        <v>991</v>
      </c>
      <c r="F16" s="4" t="s">
        <v>154</v>
      </c>
      <c r="G16" s="4"/>
    </row>
    <row r="17" spans="1:7" ht="81">
      <c r="A17" s="4" t="s">
        <v>1095</v>
      </c>
      <c r="B17" s="4" t="s">
        <v>1096</v>
      </c>
      <c r="C17" s="4" t="s">
        <v>1097</v>
      </c>
      <c r="D17" s="4" t="s">
        <v>1098</v>
      </c>
      <c r="E17" s="4" t="s">
        <v>1099</v>
      </c>
      <c r="F17" s="4" t="s">
        <v>154</v>
      </c>
      <c r="G17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Dashboard</vt:lpstr>
      <vt:lpstr>Lists &amp; Status Values</vt:lpstr>
      <vt:lpstr>Owner Master Register</vt:lpstr>
      <vt:lpstr>Property Master Register</vt:lpstr>
      <vt:lpstr>Owner Onboarding Checklist</vt:lpstr>
      <vt:lpstr>Rental Assessment &amp; Setup</vt:lpstr>
      <vt:lpstr>Marketing &amp; Enquiry Tracker</vt:lpstr>
      <vt:lpstr>Tenant Application Register</vt:lpstr>
      <vt:lpstr>Tenant Verification Checklist</vt:lpstr>
      <vt:lpstr>Tenant Approval Register</vt:lpstr>
      <vt:lpstr>Lease Register</vt:lpstr>
      <vt:lpstr>Move-In &amp; Entry Checklist</vt:lpstr>
      <vt:lpstr>Rent Collection Register</vt:lpstr>
      <vt:lpstr>Owner Disbursement Register</vt:lpstr>
      <vt:lpstr>Owner Statement Template</vt:lpstr>
      <vt:lpstr>Arrears Tracker</vt:lpstr>
      <vt:lpstr>Bond &amp; Deposit Register</vt:lpstr>
      <vt:lpstr>Bond Adjustment &amp; Refund</vt:lpstr>
      <vt:lpstr>Inspection Register</vt:lpstr>
      <vt:lpstr>Entry Inspection Checklist</vt:lpstr>
      <vt:lpstr>Routine Inspection Checklist</vt:lpstr>
      <vt:lpstr>Exit Inspection Checklist</vt:lpstr>
      <vt:lpstr>Maintenance Register</vt:lpstr>
      <vt:lpstr>Expense Approval Register</vt:lpstr>
      <vt:lpstr>Tenant Request Register</vt:lpstr>
      <vt:lpstr>Utility &amp; Bills Register</vt:lpstr>
      <vt:lpstr>Occupant &amp; Subletting Register</vt:lpstr>
      <vt:lpstr>Non-Circumvention Register</vt:lpstr>
      <vt:lpstr>Communication Log</vt:lpstr>
      <vt:lpstr>Renewal Register</vt:lpstr>
      <vt:lpstr>Termination &amp; Vacancy</vt:lpstr>
      <vt:lpstr>Risk Register</vt:lpstr>
      <vt:lpstr>KPI Dashboard Data</vt:lpstr>
      <vt:lpstr>CRM Mapping for Renetech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2026-06-20T06:06:21Z</dcterms:created>
  <dcterms:modified xsi:type="dcterms:W3CDTF">2026-06-20T06:06:21Z</dcterms:modified>
</cp:coreProperties>
</file>