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Service Agreement - Checklist - CRM Workflow - Work Order\Removal Services\"/>
    </mc:Choice>
  </mc:AlternateContent>
  <xr:revisionPtr revIDLastSave="0" documentId="8_{EDE2ED99-9216-48F6-8975-362B519A37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1" r:id="rId1"/>
    <sheet name="Lists &amp; Status Values" sheetId="2" r:id="rId2"/>
    <sheet name="Client Enquiry Register" sheetId="3" r:id="rId3"/>
    <sheet name="Enterprise Workflow" sheetId="4" r:id="rId4"/>
    <sheet name="Needs Analysis Register" sheetId="5" r:id="rId5"/>
    <sheet name="Site Inspection Register" sheetId="6" r:id="rId6"/>
    <sheet name="Prohibited Item Declaration" sheetId="7" r:id="rId7"/>
    <sheet name="Inventory Register" sheetId="8" r:id="rId8"/>
    <sheet name="Quotation Register" sheetId="9" r:id="rId9"/>
    <sheet name="Agreement Register" sheetId="10" r:id="rId10"/>
    <sheet name="Payment Register" sheetId="11" r:id="rId11"/>
    <sheet name="Work Order Register" sheetId="12" r:id="rId12"/>
    <sheet name="Labour Allocation" sheetId="13" r:id="rId13"/>
    <sheet name="Vehicle Allocation" sheetId="14" r:id="rId14"/>
    <sheet name="Packing Checklist" sheetId="15" r:id="rId15"/>
    <sheet name="Loading Checklist" sheetId="16" r:id="rId16"/>
    <sheet name="Transit Tracker" sheetId="17" r:id="rId17"/>
    <sheet name="Delivery Checklist" sheetId="18" r:id="rId18"/>
    <sheet name="Move-In Checklist" sheetId="19" r:id="rId19"/>
    <sheet name="Move-Out Checklist" sheetId="20" r:id="rId20"/>
    <sheet name="Utility Address Transfer" sheetId="21" r:id="rId21"/>
    <sheet name="Delay Charge Register" sheetId="22" r:id="rId22"/>
    <sheet name="Illegal Items Incident Reg" sheetId="23" r:id="rId23"/>
    <sheet name="Damage Claim Register" sheetId="24" r:id="rId24"/>
    <sheet name="Complaint Register" sheetId="25" r:id="rId25"/>
    <sheet name="Incident Register" sheetId="26" r:id="rId26"/>
    <sheet name="Customer Feedback Register" sheetId="27" r:id="rId27"/>
    <sheet name="Risk Register" sheetId="28" r:id="rId28"/>
    <sheet name="Closure Register" sheetId="29" r:id="rId29"/>
    <sheet name="KPI Dashboard Data" sheetId="30" r:id="rId30"/>
    <sheet name="CRM Automation Mapping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0" i="22" l="1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J4" i="22"/>
  <c r="J3" i="22"/>
  <c r="J2" i="22"/>
  <c r="K200" i="14"/>
  <c r="K199" i="14"/>
  <c r="K198" i="14"/>
  <c r="K197" i="14"/>
  <c r="K196" i="14"/>
  <c r="K195" i="14"/>
  <c r="K194" i="14"/>
  <c r="K193" i="14"/>
  <c r="K192" i="14"/>
  <c r="K191" i="14"/>
  <c r="K190" i="14"/>
  <c r="K189" i="14"/>
  <c r="K188" i="14"/>
  <c r="K187" i="14"/>
  <c r="K186" i="14"/>
  <c r="K185" i="14"/>
  <c r="K184" i="14"/>
  <c r="K183" i="14"/>
  <c r="K182" i="14"/>
  <c r="K181" i="14"/>
  <c r="K180" i="14"/>
  <c r="K179" i="14"/>
  <c r="K178" i="14"/>
  <c r="K177" i="14"/>
  <c r="K176" i="14"/>
  <c r="K175" i="14"/>
  <c r="K174" i="14"/>
  <c r="K173" i="14"/>
  <c r="K172" i="14"/>
  <c r="K171" i="14"/>
  <c r="K170" i="14"/>
  <c r="K169" i="14"/>
  <c r="K168" i="14"/>
  <c r="K167" i="14"/>
  <c r="K166" i="14"/>
  <c r="K165" i="14"/>
  <c r="K164" i="14"/>
  <c r="K163" i="14"/>
  <c r="K162" i="14"/>
  <c r="K161" i="14"/>
  <c r="K160" i="14"/>
  <c r="K159" i="14"/>
  <c r="K158" i="14"/>
  <c r="K157" i="14"/>
  <c r="K156" i="14"/>
  <c r="K155" i="14"/>
  <c r="K154" i="14"/>
  <c r="K153" i="14"/>
  <c r="K152" i="14"/>
  <c r="K151" i="14"/>
  <c r="K150" i="14"/>
  <c r="K149" i="14"/>
  <c r="K148" i="14"/>
  <c r="K147" i="14"/>
  <c r="K146" i="14"/>
  <c r="K145" i="14"/>
  <c r="K144" i="14"/>
  <c r="K143" i="14"/>
  <c r="K142" i="14"/>
  <c r="K141" i="14"/>
  <c r="K140" i="14"/>
  <c r="K139" i="14"/>
  <c r="K138" i="14"/>
  <c r="K137" i="14"/>
  <c r="K136" i="14"/>
  <c r="K135" i="14"/>
  <c r="K134" i="14"/>
  <c r="K133" i="14"/>
  <c r="K132" i="14"/>
  <c r="K131" i="14"/>
  <c r="K130" i="14"/>
  <c r="K129" i="14"/>
  <c r="K128" i="14"/>
  <c r="K127" i="14"/>
  <c r="K126" i="14"/>
  <c r="K125" i="14"/>
  <c r="K124" i="14"/>
  <c r="K123" i="14"/>
  <c r="K122" i="14"/>
  <c r="K121" i="14"/>
  <c r="K120" i="14"/>
  <c r="K119" i="14"/>
  <c r="K118" i="14"/>
  <c r="K117" i="14"/>
  <c r="K116" i="14"/>
  <c r="K115" i="14"/>
  <c r="K114" i="14"/>
  <c r="K113" i="14"/>
  <c r="K112" i="14"/>
  <c r="K111" i="14"/>
  <c r="K110" i="14"/>
  <c r="K109" i="14"/>
  <c r="K108" i="14"/>
  <c r="K107" i="14"/>
  <c r="K106" i="14"/>
  <c r="K105" i="14"/>
  <c r="K104" i="14"/>
  <c r="K103" i="14"/>
  <c r="K102" i="14"/>
  <c r="K101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2" i="14"/>
  <c r="K200" i="13"/>
  <c r="K199" i="13"/>
  <c r="K198" i="13"/>
  <c r="K197" i="13"/>
  <c r="K196" i="13"/>
  <c r="K195" i="13"/>
  <c r="K194" i="13"/>
  <c r="K193" i="13"/>
  <c r="K192" i="13"/>
  <c r="K191" i="13"/>
  <c r="K190" i="13"/>
  <c r="K189" i="13"/>
  <c r="K188" i="13"/>
  <c r="K187" i="13"/>
  <c r="K186" i="13"/>
  <c r="K185" i="13"/>
  <c r="K184" i="13"/>
  <c r="K183" i="13"/>
  <c r="K182" i="13"/>
  <c r="K181" i="13"/>
  <c r="K180" i="13"/>
  <c r="K179" i="13"/>
  <c r="K178" i="13"/>
  <c r="K177" i="13"/>
  <c r="K176" i="13"/>
  <c r="K175" i="13"/>
  <c r="K174" i="13"/>
  <c r="K173" i="13"/>
  <c r="K172" i="13"/>
  <c r="K171" i="13"/>
  <c r="K170" i="13"/>
  <c r="K169" i="13"/>
  <c r="K168" i="13"/>
  <c r="K167" i="13"/>
  <c r="K166" i="13"/>
  <c r="K165" i="13"/>
  <c r="K164" i="13"/>
  <c r="K163" i="13"/>
  <c r="K162" i="13"/>
  <c r="K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K2" i="13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O200" i="9"/>
  <c r="O199" i="9"/>
  <c r="O198" i="9"/>
  <c r="O197" i="9"/>
  <c r="O196" i="9"/>
  <c r="O195" i="9"/>
  <c r="O194" i="9"/>
  <c r="O193" i="9"/>
  <c r="O192" i="9"/>
  <c r="O191" i="9"/>
  <c r="O190" i="9"/>
  <c r="O189" i="9"/>
  <c r="O188" i="9"/>
  <c r="O187" i="9"/>
  <c r="O186" i="9"/>
  <c r="O185" i="9"/>
  <c r="O184" i="9"/>
  <c r="O183" i="9"/>
  <c r="O182" i="9"/>
  <c r="O181" i="9"/>
  <c r="O180" i="9"/>
  <c r="O179" i="9"/>
  <c r="O178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</calcChain>
</file>

<file path=xl/sharedStrings.xml><?xml version="1.0" encoding="utf-8"?>
<sst xmlns="http://schemas.openxmlformats.org/spreadsheetml/2006/main" count="2305" uniqueCount="1168">
  <si>
    <t>SEVENTH SKY PROPERTY CARE - REMOVAL &amp; RELOCATION SERVICES CRM WORKBOOK V2.0</t>
  </si>
  <si>
    <t>Purpose</t>
  </si>
  <si>
    <t>Detailed populated CRM workflow template for Removal &amp; Relocation Services delivered directly by Seventh Sky to clients.</t>
  </si>
  <si>
    <t>Service Model</t>
  </si>
  <si>
    <t>Seventh Sky provides labour, transport and logistics support directly to the client under a Customer Service Agreement and project-specific Work Order.</t>
  </si>
  <si>
    <t>Workflow</t>
  </si>
  <si>
    <t>Enquiry → Qualification → Site/Inventory Review → Quotation → Agreement → Deposit → Work Order → Team/Vehicle Allocation → Packing → Loading → Transit → Delivery → Sign-Off → Final Payment → Feedback → Closure.</t>
  </si>
  <si>
    <t>Core Controls</t>
  </si>
  <si>
    <t>Legal/prohibited items declaration, pickup/drop-off access confirmation, delay charge tracker, inventory and condition photos, payment control, client sign-off and incident/claim register.</t>
  </si>
  <si>
    <t>Delay Rule</t>
  </si>
  <si>
    <t>Customer-caused delay at pickup/drop-off point: BDT 1,000 per hour or part thereof, recorded in Delay Charge Register.</t>
  </si>
  <si>
    <t>Illegal Items Rule</t>
  </si>
  <si>
    <t>If illegal/prohibited items are suspected or found, service may be cancelled immediately without refund and items/shipment may be reported/handed to police.</t>
  </si>
  <si>
    <t>CRM Use</t>
  </si>
  <si>
    <t>Give this workbook to Renetech as a detailed operational blueprint for CRM modules, forms, statuses, automations and dashboards.</t>
  </si>
  <si>
    <t>Workbook Version</t>
  </si>
  <si>
    <t>V2.0 - detailed populated template with fictitious records.</t>
  </si>
  <si>
    <t>Prepared For</t>
  </si>
  <si>
    <t>Seventh Sky Property Care - Removal &amp; Relocation Services.</t>
  </si>
  <si>
    <t>Brand Principle</t>
  </si>
  <si>
    <t>Built on Trust, Driven by Care.</t>
  </si>
  <si>
    <t>KPI Snapshot</t>
  </si>
  <si>
    <t>Formula-driven dashboard values can be added in CRM from the KPI Dashboard Data sheet.</t>
  </si>
  <si>
    <t>Sample Data</t>
  </si>
  <si>
    <t>All names, numbers, records and amounts are fictitious examples for workflow demonstration.</t>
  </si>
  <si>
    <t>Recommended Mandatory Forms</t>
  </si>
  <si>
    <t>Customer Agreement, Work Order, Item Declaration, Inventory List, Pickup Sign-Off, Delivery Sign-Off, Delay Charge Record, Incident/Claim Record.</t>
  </si>
  <si>
    <t>Recommended Automations</t>
  </si>
  <si>
    <t>Lead reminders, quote follow-up, deposit alerts, team allocation, vehicle allocation, job-day checklist, delay charge calculation, final payment reminder, feedback request.</t>
  </si>
  <si>
    <t>Operational Warning</t>
  </si>
  <si>
    <t>No job should commence until prohibited item declaration, pickup/drop-off access confirmation and payment/deposit requirements are completed.</t>
  </si>
  <si>
    <t>Document Status</t>
  </si>
  <si>
    <t>Ready for operational use and CRM conversion.</t>
  </si>
  <si>
    <t>List Type</t>
  </si>
  <si>
    <t>Value</t>
  </si>
  <si>
    <t>Use In Sheet</t>
  </si>
  <si>
    <t>Notes</t>
  </si>
  <si>
    <t>Lead Status</t>
  </si>
  <si>
    <t>New Lead</t>
  </si>
  <si>
    <t>Client Enquiry Register</t>
  </si>
  <si>
    <t>Initial enquiry received</t>
  </si>
  <si>
    <t>Contacted</t>
  </si>
  <si>
    <t>Client contacted</t>
  </si>
  <si>
    <t>Inspection Scheduled</t>
  </si>
  <si>
    <t>Site Inspection Register</t>
  </si>
  <si>
    <t>Site/remote inspection booked</t>
  </si>
  <si>
    <t>Quotation Issued</t>
  </si>
  <si>
    <t>Quotation Register</t>
  </si>
  <si>
    <t>Quote issued to customer</t>
  </si>
  <si>
    <t>Agreement Sent</t>
  </si>
  <si>
    <t>Agreement Register</t>
  </si>
  <si>
    <t>Agreement sent for signature</t>
  </si>
  <si>
    <t>Agreement Signed</t>
  </si>
  <si>
    <t>Customer agreement signed</t>
  </si>
  <si>
    <t>Deposit Received</t>
  </si>
  <si>
    <t>Payment Register</t>
  </si>
  <si>
    <t>Deposit received</t>
  </si>
  <si>
    <t>Work Order Created</t>
  </si>
  <si>
    <t>Work Order Register</t>
  </si>
  <si>
    <t>Job operationally created</t>
  </si>
  <si>
    <t>Team Allocated</t>
  </si>
  <si>
    <t>Labour Allocation</t>
  </si>
  <si>
    <t>Crew assigned</t>
  </si>
  <si>
    <t>Vehicle Allocated</t>
  </si>
  <si>
    <t>Vehicle Allocation</t>
  </si>
  <si>
    <t>Truck/van assigned</t>
  </si>
  <si>
    <t>Job Status</t>
  </si>
  <si>
    <t>Packing</t>
  </si>
  <si>
    <t>Packing Checklist</t>
  </si>
  <si>
    <t>Packing underway</t>
  </si>
  <si>
    <t>Loading</t>
  </si>
  <si>
    <t>Loading Checklist</t>
  </si>
  <si>
    <t>Loading underway</t>
  </si>
  <si>
    <t>In Transit</t>
  </si>
  <si>
    <t>Transit Tracker</t>
  </si>
  <si>
    <t>Goods in transit</t>
  </si>
  <si>
    <t>Delivery</t>
  </si>
  <si>
    <t>Delivery Checklist</t>
  </si>
  <si>
    <t>Delivery underway</t>
  </si>
  <si>
    <t>Completed</t>
  </si>
  <si>
    <t>Closure Register</t>
  </si>
  <si>
    <t>Client sign-off completed</t>
  </si>
  <si>
    <t>Closed</t>
  </si>
  <si>
    <t>Payment and feedback completed</t>
  </si>
  <si>
    <t>Priority</t>
  </si>
  <si>
    <t>Standard</t>
  </si>
  <si>
    <t>Work Orders</t>
  </si>
  <si>
    <t>Normal service</t>
  </si>
  <si>
    <t>Urgent</t>
  </si>
  <si>
    <t>Fast turnaround</t>
  </si>
  <si>
    <t>Emergency</t>
  </si>
  <si>
    <t>Immediate support required</t>
  </si>
  <si>
    <t>Service Type</t>
  </si>
  <si>
    <t>Residential Moving</t>
  </si>
  <si>
    <t>Client Enquiry</t>
  </si>
  <si>
    <t>Local/intercity house/apartment move</t>
  </si>
  <si>
    <t>Office Relocation</t>
  </si>
  <si>
    <t>Business relocation</t>
  </si>
  <si>
    <t>Retail Relocation</t>
  </si>
  <si>
    <t>Shop/retail move</t>
  </si>
  <si>
    <t>Corporate Employee Relocation</t>
  </si>
  <si>
    <t>Staff relocation</t>
  </si>
  <si>
    <t>Move-In Service</t>
  </si>
  <si>
    <t>Utility, cleaning, furniture placement</t>
  </si>
  <si>
    <t>Move-Out Service</t>
  </si>
  <si>
    <t>Cleaning, clearance, key handover</t>
  </si>
  <si>
    <t>Disposal &amp; Clearance</t>
  </si>
  <si>
    <t>Junk/furniture/appliance removal</t>
  </si>
  <si>
    <t>Utility &amp; Address Transfer</t>
  </si>
  <si>
    <t>Utility/account/address coordination</t>
  </si>
  <si>
    <t>Payment Status</t>
  </si>
  <si>
    <t>Unpaid</t>
  </si>
  <si>
    <t>No payment received</t>
  </si>
  <si>
    <t>Partial</t>
  </si>
  <si>
    <t>Part payment received</t>
  </si>
  <si>
    <t>Paid</t>
  </si>
  <si>
    <t>Full payment received</t>
  </si>
  <si>
    <t>Claim Status</t>
  </si>
  <si>
    <t>Investigating</t>
  </si>
  <si>
    <t>Claims Register</t>
  </si>
  <si>
    <t>Under review</t>
  </si>
  <si>
    <t>Closed - No Liability</t>
  </si>
  <si>
    <t>Closed under limitation/exclusion</t>
  </si>
  <si>
    <t>Resolved Goodwill</t>
  </si>
  <si>
    <t>Resolved commercially without liability admission</t>
  </si>
  <si>
    <t>Compliance Status</t>
  </si>
  <si>
    <t>Pending</t>
  </si>
  <si>
    <t>Illegal Items Declaration</t>
  </si>
  <si>
    <t>Awaiting declaration</t>
  </si>
  <si>
    <t>Cleared</t>
  </si>
  <si>
    <t>Customer declared lawful items</t>
  </si>
  <si>
    <t>Suspected Issue</t>
  </si>
  <si>
    <t>Illegal Items Register</t>
  </si>
  <si>
    <t>Escalate immediately</t>
  </si>
  <si>
    <t>Reported to Police</t>
  </si>
  <si>
    <t>Authorities notified</t>
  </si>
  <si>
    <t>Enquiry ID</t>
  </si>
  <si>
    <t>Date Received</t>
  </si>
  <si>
    <t>Client Name</t>
  </si>
  <si>
    <t>Client Type</t>
  </si>
  <si>
    <t>Mobile</t>
  </si>
  <si>
    <t>Email</t>
  </si>
  <si>
    <t>Pickup Address</t>
  </si>
  <si>
    <t>Drop-off Address</t>
  </si>
  <si>
    <t>Move Date</t>
  </si>
  <si>
    <t>Lead Source</t>
  </si>
  <si>
    <t>Assigned Staff</t>
  </si>
  <si>
    <t>Status</t>
  </si>
  <si>
    <t>Follow-up Date</t>
  </si>
  <si>
    <t>Outcome / Next Action</t>
  </si>
  <si>
    <t>RM-2026-0001</t>
  </si>
  <si>
    <t>2026-11-01</t>
  </si>
  <si>
    <t>Ahmed Rahman</t>
  </si>
  <si>
    <t>Residential</t>
  </si>
  <si>
    <t>017XXXXXXXX</t>
  </si>
  <si>
    <t>ahmed@example.com</t>
  </si>
  <si>
    <t>Cumilla Sadar, Cumilla</t>
  </si>
  <si>
    <t>Dhanmondi, Dhaka</t>
  </si>
  <si>
    <t>2026-11-15</t>
  </si>
  <si>
    <t>Facebook</t>
  </si>
  <si>
    <t>Relocation Coordinator</t>
  </si>
  <si>
    <t>2026-11-04</t>
  </si>
  <si>
    <t>Follow up quote approval</t>
  </si>
  <si>
    <t>Fictitious sample</t>
  </si>
  <si>
    <t>RM-2026-0002</t>
  </si>
  <si>
    <t>2026-11-02</t>
  </si>
  <si>
    <t>Farhana Islam</t>
  </si>
  <si>
    <t>Business</t>
  </si>
  <si>
    <t>018XXXXXXXX</t>
  </si>
  <si>
    <t>farhana.office@example.com</t>
  </si>
  <si>
    <t>Kandirpar, Cumilla</t>
  </si>
  <si>
    <t>Agrabad, Chattogram</t>
  </si>
  <si>
    <t>2026-11-20</t>
  </si>
  <si>
    <t>Website</t>
  </si>
  <si>
    <t>Operations Officer</t>
  </si>
  <si>
    <t>2026-11-05</t>
  </si>
  <si>
    <t>Complete office inspection</t>
  </si>
  <si>
    <t>Server equipment involved</t>
  </si>
  <si>
    <t>RM-2026-0003</t>
  </si>
  <si>
    <t>2026-11-03</t>
  </si>
  <si>
    <t>Mizanur Khan</t>
  </si>
  <si>
    <t>019XXXXXXXX</t>
  </si>
  <si>
    <t>mizan@example.com</t>
  </si>
  <si>
    <t>Uttara, Dhaka</t>
  </si>
  <si>
    <t>N/A</t>
  </si>
  <si>
    <t>2026-11-10</t>
  </si>
  <si>
    <t>Referral</t>
  </si>
  <si>
    <t>2026-11-06</t>
  </si>
  <si>
    <t>Collect deposit</t>
  </si>
  <si>
    <t>Move-out and waste removal</t>
  </si>
  <si>
    <t>RM-2026-0004</t>
  </si>
  <si>
    <t>Nusrat Jahan</t>
  </si>
  <si>
    <t>016XXXXXXXX</t>
  </si>
  <si>
    <t>nusrat@example.com</t>
  </si>
  <si>
    <t>Cumilla Cantonment</t>
  </si>
  <si>
    <t>Cumilla Town</t>
  </si>
  <si>
    <t>2026-11-18</t>
  </si>
  <si>
    <t>Walk-in</t>
  </si>
  <si>
    <t>Customer Service Officer</t>
  </si>
  <si>
    <t>Call for needs analysis</t>
  </si>
  <si>
    <t>Utility setup required</t>
  </si>
  <si>
    <t>RM-2026-0005</t>
  </si>
  <si>
    <t>Bright Retail Ltd</t>
  </si>
  <si>
    <t>Commercial</t>
  </si>
  <si>
    <t>015XXXXXXXX</t>
  </si>
  <si>
    <t>ops@brightretail.example</t>
  </si>
  <si>
    <t>Cumilla EPZ Road</t>
  </si>
  <si>
    <t>Comilla City Mall</t>
  </si>
  <si>
    <t>2026-11-22</t>
  </si>
  <si>
    <t>Corporate Referral</t>
  </si>
  <si>
    <t>Operations Manager</t>
  </si>
  <si>
    <t>Schedule site visit</t>
  </si>
  <si>
    <t>Retail stock and fixtures</t>
  </si>
  <si>
    <t>RM-2026-0006</t>
  </si>
  <si>
    <t>Sakib Hasan</t>
  </si>
  <si>
    <t>013XXXXXXXX</t>
  </si>
  <si>
    <t>sakib@example.com</t>
  </si>
  <si>
    <t>Housing Estate, Cumilla</t>
  </si>
  <si>
    <t>Local Disposal Facility</t>
  </si>
  <si>
    <t>2026-11-12</t>
  </si>
  <si>
    <t>2026-11-08</t>
  </si>
  <si>
    <t>Assess junk volume</t>
  </si>
  <si>
    <t>Appliance disposal</t>
  </si>
  <si>
    <t>Stage No</t>
  </si>
  <si>
    <t>Stage</t>
  </si>
  <si>
    <t>Detailed Activity</t>
  </si>
  <si>
    <t>Responsible Role</t>
  </si>
  <si>
    <t>Required CRM Record</t>
  </si>
  <si>
    <t>Mandatory Evidence</t>
  </si>
  <si>
    <t>Status Outcome</t>
  </si>
  <si>
    <t>Automation / CRM Requirement</t>
  </si>
  <si>
    <t>Risk Control</t>
  </si>
  <si>
    <t>Lead Capture</t>
  </si>
  <si>
    <t>Capture customer enquiry, contact, service type, pickup/drop-off, expected move date and lead source.</t>
  </si>
  <si>
    <t>Lead form/call note</t>
  </si>
  <si>
    <t>Auto-create Enquiry ID</t>
  </si>
  <si>
    <t>Avoid missing key move details</t>
  </si>
  <si>
    <t>Qualification Call</t>
  </si>
  <si>
    <t>Confirm service type, volume estimate, legal item declaration, access, urgency and budget expectation.</t>
  </si>
  <si>
    <t>Needs Analysis Register</t>
  </si>
  <si>
    <t>Call note/customer answers</t>
  </si>
  <si>
    <t>Qualified / Inspection Required</t>
  </si>
  <si>
    <t>Guided questionnaire</t>
  </si>
  <si>
    <t>Identify prohibited items/access risk early</t>
  </si>
  <si>
    <t>Site / Inventory Review</t>
  </si>
  <si>
    <t>Conduct physical or remote review of goods, property access, stairs/lift, truck access and fragile items.</t>
  </si>
  <si>
    <t>Inspection Officer</t>
  </si>
  <si>
    <t>Photos/video/inspection checklist</t>
  </si>
  <si>
    <t>Inspection Completed</t>
  </si>
  <si>
    <t>Inspection booking reminder</t>
  </si>
  <si>
    <t>Reduce quote dispute and damage claims</t>
  </si>
  <si>
    <t>Quotation Preparation</t>
  </si>
  <si>
    <t>Prepare quote with labour, transport, packing, materials, coordination fee, disposal/utility costs and delay rules.</t>
  </si>
  <si>
    <t>Accounts/Coordinator</t>
  </si>
  <si>
    <t>Quote document</t>
  </si>
  <si>
    <t>Quote calculator</t>
  </si>
  <si>
    <t>Transparent pricing</t>
  </si>
  <si>
    <t>Agreement &amp; Declaration</t>
  </si>
  <si>
    <t>Collect signed agreement, prohibited items declaration and inventory acknowledgement.</t>
  </si>
  <si>
    <t>Admin</t>
  </si>
  <si>
    <t>Agreement Register / Item Declaration</t>
  </si>
  <si>
    <t>Signed docs</t>
  </si>
  <si>
    <t>E-sign workflow</t>
  </si>
  <si>
    <t>Legal protection</t>
  </si>
  <si>
    <t>Payment / Deposit</t>
  </si>
  <si>
    <t>Collect deposit or prepayment according to work order.</t>
  </si>
  <si>
    <t>Accounts</t>
  </si>
  <si>
    <t>Receipt</t>
  </si>
  <si>
    <t>Payment reminder</t>
  </si>
  <si>
    <t>No unpaid jobs</t>
  </si>
  <si>
    <t>Work Order Creation</t>
  </si>
  <si>
    <t>Create operational job order with date, time, scope, team, vehicle and special instructions.</t>
  </si>
  <si>
    <t>Approved WO</t>
  </si>
  <si>
    <t>Auto-populate from quote</t>
  </si>
  <si>
    <t>Scope control</t>
  </si>
  <si>
    <t>Resource Allocation</t>
  </si>
  <si>
    <t>Assign crew, driver, vehicle, packing materials and job supervisor.</t>
  </si>
  <si>
    <t>Labour / Vehicle Allocation</t>
  </si>
  <si>
    <t>Allocation sheet</t>
  </si>
  <si>
    <t>Availability checker</t>
  </si>
  <si>
    <t>Avoid overbooking</t>
  </si>
  <si>
    <t>Pre-Move Confirmation</t>
  </si>
  <si>
    <t>Confirm pickup/drop-off access, parking, lift booking, contact person, item declaration and payment status 24 hours before job.</t>
  </si>
  <si>
    <t>Coordinator</t>
  </si>
  <si>
    <t>Pre-Move Checklist</t>
  </si>
  <si>
    <t>Confirmation log</t>
  </si>
  <si>
    <t>Ready for Service</t>
  </si>
  <si>
    <t>SMS/WhatsApp reminder</t>
  </si>
  <si>
    <t>Reduce delays</t>
  </si>
  <si>
    <t>Pack/wrap/label agreed items and record fragile/high-value items with photos.</t>
  </si>
  <si>
    <t>Packing Team</t>
  </si>
  <si>
    <t>Packing Checklist / Inventory</t>
  </si>
  <si>
    <t>Photos, labels</t>
  </si>
  <si>
    <t>Packing Completed</t>
  </si>
  <si>
    <t>Mobile upload</t>
  </si>
  <si>
    <t>Damage prevention</t>
  </si>
  <si>
    <t>Load items safely, verify inventory and obtain pickup sign-off.</t>
  </si>
  <si>
    <t>Crew Supervisor</t>
  </si>
  <si>
    <t>Pickup sign-off/photos</t>
  </si>
  <si>
    <t>Loading Completed</t>
  </si>
  <si>
    <t>Checklist required before departure</t>
  </si>
  <si>
    <t>Missing item prevention</t>
  </si>
  <si>
    <t>Transit Monitoring</t>
  </si>
  <si>
    <t>Track departure, checkpoints, arrival estimate, delays and incidents.</t>
  </si>
  <si>
    <t>Driver/Supervisor</t>
  </si>
  <si>
    <t>Time stamps, updates</t>
  </si>
  <si>
    <t>Status notifications</t>
  </si>
  <si>
    <t>Client communication</t>
  </si>
  <si>
    <t>Delivery &amp; Unloading</t>
  </si>
  <si>
    <t>Unload, place items as agreed, verify inventory and record damage/delay issues.</t>
  </si>
  <si>
    <t>Delivery photos/sign-off</t>
  </si>
  <si>
    <t>Delivered</t>
  </si>
  <si>
    <t>Delivery checklist</t>
  </si>
  <si>
    <t>Dispute control</t>
  </si>
  <si>
    <t>Final Payment</t>
  </si>
  <si>
    <t>Collect balance before/at final unloading unless agreed otherwise.</t>
  </si>
  <si>
    <t>Paid / Outstanding</t>
  </si>
  <si>
    <t>Payment alert</t>
  </si>
  <si>
    <t>Cashflow protection</t>
  </si>
  <si>
    <t>Feedback &amp; Closure</t>
  </si>
  <si>
    <t>Collect feedback, close job, archive evidence and schedule follow-up marketing.</t>
  </si>
  <si>
    <t>Feedback / Closure Register</t>
  </si>
  <si>
    <t>Feedback form</t>
  </si>
  <si>
    <t>Auto feedback request</t>
  </si>
  <si>
    <t>Continuous improvement</t>
  </si>
  <si>
    <t>Needs ID</t>
  </si>
  <si>
    <t>Pickup Property Type</t>
  </si>
  <si>
    <t>Drop-off Property Type</t>
  </si>
  <si>
    <t>Estimated Items</t>
  </si>
  <si>
    <t>Fragile Items</t>
  </si>
  <si>
    <t>Heavy Items</t>
  </si>
  <si>
    <t>Packing Required?</t>
  </si>
  <si>
    <t>Unpacking Required?</t>
  </si>
  <si>
    <t>Disposal Required?</t>
  </si>
  <si>
    <t>Utility Support?</t>
  </si>
  <si>
    <t>Urgency</t>
  </si>
  <si>
    <t>Access Risk</t>
  </si>
  <si>
    <t>Recommended Next Step</t>
  </si>
  <si>
    <t>NA-0001</t>
  </si>
  <si>
    <t>2-storey house</t>
  </si>
  <si>
    <t>Apartment 3rd floor</t>
  </si>
  <si>
    <t>65 household items</t>
  </si>
  <si>
    <t>TV, glass table, crockery</t>
  </si>
  <si>
    <t>Refrigerator, wardrobe</t>
  </si>
  <si>
    <t>Yes</t>
  </si>
  <si>
    <t>No</t>
  </si>
  <si>
    <t>Medium</t>
  </si>
  <si>
    <t>Conduct site inspection</t>
  </si>
  <si>
    <t>Stair access at pickup</t>
  </si>
  <si>
    <t>NA-0002</t>
  </si>
  <si>
    <t>Office 4th floor</t>
  </si>
  <si>
    <t>Office 2nd floor</t>
  </si>
  <si>
    <t>35 desks/chairs + IT equipment</t>
  </si>
  <si>
    <t>Servers, monitors</t>
  </si>
  <si>
    <t>Photocopier</t>
  </si>
  <si>
    <t>Internet transfer guidance</t>
  </si>
  <si>
    <t>High</t>
  </si>
  <si>
    <t>Physical inspection required</t>
  </si>
  <si>
    <t>Lift booking needed</t>
  </si>
  <si>
    <t>NA-0003</t>
  </si>
  <si>
    <t>Apartment</t>
  </si>
  <si>
    <t>Furniture + junk</t>
  </si>
  <si>
    <t>Mirror</t>
  </si>
  <si>
    <t>Sofa</t>
  </si>
  <si>
    <t>Key handover</t>
  </si>
  <si>
    <t>Low</t>
  </si>
  <si>
    <t>Prepare clearance quote</t>
  </si>
  <si>
    <t>End-of-lease cleaning</t>
  </si>
  <si>
    <t>NA-0004</t>
  </si>
  <si>
    <t>House</t>
  </si>
  <si>
    <t>New furniture placement</t>
  </si>
  <si>
    <t>Glass cabinet</t>
  </si>
  <si>
    <t>Bed frame</t>
  </si>
  <si>
    <t>Electricity/internet setup</t>
  </si>
  <si>
    <t>Prepare move-in checklist</t>
  </si>
  <si>
    <t>NA-0005</t>
  </si>
  <si>
    <t>Retail shop</t>
  </si>
  <si>
    <t>Shopping mall</t>
  </si>
  <si>
    <t>Fixtures + stock</t>
  </si>
  <si>
    <t>Glass shelves</t>
  </si>
  <si>
    <t>Display cabinets</t>
  </si>
  <si>
    <t>Optional</t>
  </si>
  <si>
    <t>Utility transfer guidance</t>
  </si>
  <si>
    <t>Retail site inspection</t>
  </si>
  <si>
    <t>After-hours move preferred</t>
  </si>
  <si>
    <t>NA-0006</t>
  </si>
  <si>
    <t>Disposal facility</t>
  </si>
  <si>
    <t>Junk/furniture/appliances</t>
  </si>
  <si>
    <t>None</t>
  </si>
  <si>
    <t>Old refrigerator</t>
  </si>
  <si>
    <t>Estimate disposal volume</t>
  </si>
  <si>
    <t>Customer must declare lawful ownership</t>
  </si>
  <si>
    <t>Inspection ID</t>
  </si>
  <si>
    <t>Inspection Date</t>
  </si>
  <si>
    <t>Inspection Mode</t>
  </si>
  <si>
    <t>Pickup Floor</t>
  </si>
  <si>
    <t>Drop-off Floor</t>
  </si>
  <si>
    <t>Lift Available</t>
  </si>
  <si>
    <t>Truck Access</t>
  </si>
  <si>
    <t>Parking Available</t>
  </si>
  <si>
    <t>Estimated Volume CBM</t>
  </si>
  <si>
    <t>Heavy / Special Items</t>
  </si>
  <si>
    <t>Existing Damage Photos?</t>
  </si>
  <si>
    <t>Outcome</t>
  </si>
  <si>
    <t>Inspector Notes</t>
  </si>
  <si>
    <t>INS-0001</t>
  </si>
  <si>
    <t>Physical</t>
  </si>
  <si>
    <t>2</t>
  </si>
  <si>
    <t>3</t>
  </si>
  <si>
    <t>No at pickup, yes at drop-off</t>
  </si>
  <si>
    <t>Limited at drop-off</t>
  </si>
  <si>
    <t>Fridge, wardrobe</t>
  </si>
  <si>
    <t>Quote Approved</t>
  </si>
  <si>
    <t>Requires 4 movers and 3-ton truck</t>
  </si>
  <si>
    <t>INS-0002</t>
  </si>
  <si>
    <t>4</t>
  </si>
  <si>
    <t>Limited</t>
  </si>
  <si>
    <t>Basement loading zone</t>
  </si>
  <si>
    <t>Servers and monitors</t>
  </si>
  <si>
    <t>Revised Quote Required</t>
  </si>
  <si>
    <t>IT equipment requires special packing</t>
  </si>
  <si>
    <t>INS-0003</t>
  </si>
  <si>
    <t>Remote Video</t>
  </si>
  <si>
    <t>6</t>
  </si>
  <si>
    <t>Confirmed</t>
  </si>
  <si>
    <t>Clearance and cleaning only</t>
  </si>
  <si>
    <t>INS-0004</t>
  </si>
  <si>
    <t>Phone/Photos</t>
  </si>
  <si>
    <t>Ground</t>
  </si>
  <si>
    <t>Quote Pending</t>
  </si>
  <si>
    <t>Furniture placement and utility setup</t>
  </si>
  <si>
    <t>INS-0005</t>
  </si>
  <si>
    <t>1</t>
  </si>
  <si>
    <t>Mall lift</t>
  </si>
  <si>
    <t>After-hours loading</t>
  </si>
  <si>
    <t>Retail mall rules apply</t>
  </si>
  <si>
    <t>INS-0006</t>
  </si>
  <si>
    <t>Old appliances</t>
  </si>
  <si>
    <t>Disposal receipt may be needed</t>
  </si>
  <si>
    <t>Declaration ID</t>
  </si>
  <si>
    <t>Declaration Date</t>
  </si>
  <si>
    <t>Customer Declares All Items Legal?</t>
  </si>
  <si>
    <t>Illegal Items Explained?</t>
  </si>
  <si>
    <t>Police Reporting Clause Accepted?</t>
  </si>
  <si>
    <t>No Refund Clause Accepted?</t>
  </si>
  <si>
    <t>Shipment Handover to Police Clause Accepted?</t>
  </si>
  <si>
    <t>Customer Signature Status</t>
  </si>
  <si>
    <t>Staff Verified</t>
  </si>
  <si>
    <t>DEC-0001</t>
  </si>
  <si>
    <t>Must sign before job</t>
  </si>
  <si>
    <t>DEC-0002</t>
  </si>
  <si>
    <t>Office IT equipment declaration required</t>
  </si>
  <si>
    <t>DEC-0003</t>
  </si>
  <si>
    <t>Signed</t>
  </si>
  <si>
    <t>DEC-0004</t>
  </si>
  <si>
    <t>Not Sent</t>
  </si>
  <si>
    <t>DEC-0005</t>
  </si>
  <si>
    <t>Retail stock declaration required</t>
  </si>
  <si>
    <t>DEC-0006</t>
  </si>
  <si>
    <t>2026-11-09</t>
  </si>
  <si>
    <t>Disposal items declared as owned by customer</t>
  </si>
  <si>
    <t>Inventory ID</t>
  </si>
  <si>
    <t>Item Category</t>
  </si>
  <si>
    <t>Item Description</t>
  </si>
  <si>
    <t>Qty</t>
  </si>
  <si>
    <t>Condition Before</t>
  </si>
  <si>
    <t>Existing Damage Noted?</t>
  </si>
  <si>
    <t>Photo Taken?</t>
  </si>
  <si>
    <t>Fragile?</t>
  </si>
  <si>
    <t>High Value?</t>
  </si>
  <si>
    <t>Packed By</t>
  </si>
  <si>
    <t>Box/Label No</t>
  </si>
  <si>
    <t>Loaded?</t>
  </si>
  <si>
    <t>Delivered?</t>
  </si>
  <si>
    <t>Condition After</t>
  </si>
  <si>
    <t>INV-0001</t>
  </si>
  <si>
    <t>Furniture</t>
  </si>
  <si>
    <t>3-seater sofa</t>
  </si>
  <si>
    <t>Good</t>
  </si>
  <si>
    <t>Seventh Sky</t>
  </si>
  <si>
    <t>FUR-01</t>
  </si>
  <si>
    <t>INV-0002</t>
  </si>
  <si>
    <t>Appliance</t>
  </si>
  <si>
    <t>Refrigerator</t>
  </si>
  <si>
    <t>Minor side scratch</t>
  </si>
  <si>
    <t>APP-01</t>
  </si>
  <si>
    <t>Existing scratch photo required</t>
  </si>
  <si>
    <t>INV-0003</t>
  </si>
  <si>
    <t>Electronics</t>
  </si>
  <si>
    <t>55-inch Smart TV</t>
  </si>
  <si>
    <t>Excellent</t>
  </si>
  <si>
    <t>ELEC-01/02</t>
  </si>
  <si>
    <t>Bubble wrap required</t>
  </si>
  <si>
    <t>INV-0004</t>
  </si>
  <si>
    <t>Dining table with glass top</t>
  </si>
  <si>
    <t>FUR-02</t>
  </si>
  <si>
    <t>Glass top separate wrap</t>
  </si>
  <si>
    <t>INV-0005</t>
  </si>
  <si>
    <t>Office Furniture</t>
  </si>
  <si>
    <t>Office desk</t>
  </si>
  <si>
    <t>OFF-DESK-01-15</t>
  </si>
  <si>
    <t>INV-0006</t>
  </si>
  <si>
    <t>IT Equipment</t>
  </si>
  <si>
    <t>Server rack</t>
  </si>
  <si>
    <t>Client IT + Seventh Sky</t>
  </si>
  <si>
    <t>IT-01/02</t>
  </si>
  <si>
    <t>Client responsible for data backup</t>
  </si>
  <si>
    <t>INV-0007</t>
  </si>
  <si>
    <t>Desktop monitor</t>
  </si>
  <si>
    <t>IT-MON-01-18</t>
  </si>
  <si>
    <t>INV-0008</t>
  </si>
  <si>
    <t>Waste/Junk</t>
  </si>
  <si>
    <t>Old broken chair</t>
  </si>
  <si>
    <t>Poor</t>
  </si>
  <si>
    <t>DISP-01</t>
  </si>
  <si>
    <t>Disposal</t>
  </si>
  <si>
    <t>INV-0009</t>
  </si>
  <si>
    <t>Retail Fixture</t>
  </si>
  <si>
    <t>Glass display shelf</t>
  </si>
  <si>
    <t>RET-GLASS-01-08</t>
  </si>
  <si>
    <t>Special handling</t>
  </si>
  <si>
    <t>INV-0010</t>
  </si>
  <si>
    <t>Old washing machine</t>
  </si>
  <si>
    <t>DISP-02</t>
  </si>
  <si>
    <t>Quote No</t>
  </si>
  <si>
    <t>Labour Cost</t>
  </si>
  <si>
    <t>Truck / Transport Cost</t>
  </si>
  <si>
    <t>Fuel / Toll Cost</t>
  </si>
  <si>
    <t>Packing Materials</t>
  </si>
  <si>
    <t>Disposal Fee</t>
  </si>
  <si>
    <t>Utility Coordination Fee</t>
  </si>
  <si>
    <t>Seventh Sky Coordination Fee</t>
  </si>
  <si>
    <t>Delay Rate Per Hour</t>
  </si>
  <si>
    <t>Insurance Option</t>
  </si>
  <si>
    <t>Discount</t>
  </si>
  <si>
    <t>Total Quote</t>
  </si>
  <si>
    <t>Validity</t>
  </si>
  <si>
    <t>Client Decision</t>
  </si>
  <si>
    <t>QT-0001</t>
  </si>
  <si>
    <t>Customer to arrange own insurance</t>
  </si>
  <si>
    <t>14 days</t>
  </si>
  <si>
    <t>3-ton truck and 4 movers</t>
  </si>
  <si>
    <t>QT-0002</t>
  </si>
  <si>
    <t>Optional transit insurance requested</t>
  </si>
  <si>
    <t>Server packing and weekend schedule</t>
  </si>
  <si>
    <t>QT-0003</t>
  </si>
  <si>
    <t>No insurance</t>
  </si>
  <si>
    <t>7 days</t>
  </si>
  <si>
    <t>Approved</t>
  </si>
  <si>
    <t>Waste removal and end-of-lease cleaning</t>
  </si>
  <si>
    <t>QT-0004</t>
  </si>
  <si>
    <t>Draft</t>
  </si>
  <si>
    <t>Furniture placement and utility activation</t>
  </si>
  <si>
    <t>QT-0005</t>
  </si>
  <si>
    <t>Commercial goods insurance optional</t>
  </si>
  <si>
    <t>After-hours mall move</t>
  </si>
  <si>
    <t>QT-0006</t>
  </si>
  <si>
    <t>Agreement ID</t>
  </si>
  <si>
    <t>Agreement Sent Date</t>
  </si>
  <si>
    <t>Agreement Signed Date</t>
  </si>
  <si>
    <t>Work Order Ref</t>
  </si>
  <si>
    <t>Prohibited Item Declaration Signed?</t>
  </si>
  <si>
    <t>Damage / Loss Limitation Accepted?</t>
  </si>
  <si>
    <t>Delay Charge Accepted?</t>
  </si>
  <si>
    <t>Payment Terms Accepted?</t>
  </si>
  <si>
    <t>Agreement Status</t>
  </si>
  <si>
    <t>Storage Link</t>
  </si>
  <si>
    <t>AGR-0001</t>
  </si>
  <si>
    <t>WO-0001</t>
  </si>
  <si>
    <t>Sent</t>
  </si>
  <si>
    <t>AGR-0002</t>
  </si>
  <si>
    <t>WO-0002</t>
  </si>
  <si>
    <t>Corporate approval required</t>
  </si>
  <si>
    <t>AGR-0003</t>
  </si>
  <si>
    <t>WO-0003</t>
  </si>
  <si>
    <t>AGR-0004</t>
  </si>
  <si>
    <t>WO-0004</t>
  </si>
  <si>
    <t>AGR-0005</t>
  </si>
  <si>
    <t>WO-0005</t>
  </si>
  <si>
    <t>AGR-0006</t>
  </si>
  <si>
    <t>WO-0006</t>
  </si>
  <si>
    <t>Payment ID</t>
  </si>
  <si>
    <t>Quote Total</t>
  </si>
  <si>
    <t>Deposit Required</t>
  </si>
  <si>
    <t>Balance Due</t>
  </si>
  <si>
    <t>Additional Delay Charge</t>
  </si>
  <si>
    <t>Other Approved Charges</t>
  </si>
  <si>
    <t>Total Payable</t>
  </si>
  <si>
    <t>Total Paid</t>
  </si>
  <si>
    <t>Outstanding</t>
  </si>
  <si>
    <t>Receipt No</t>
  </si>
  <si>
    <t>PAY-0001</t>
  </si>
  <si>
    <t>PAY-0002</t>
  </si>
  <si>
    <t>PAY-0003</t>
  </si>
  <si>
    <t>REC-0003</t>
  </si>
  <si>
    <t>PAY-0004</t>
  </si>
  <si>
    <t>Draft quote</t>
  </si>
  <si>
    <t>PAY-0005</t>
  </si>
  <si>
    <t>PAY-0006</t>
  </si>
  <si>
    <t>REC-0006</t>
  </si>
  <si>
    <t>WO No</t>
  </si>
  <si>
    <t>Service Date</t>
  </si>
  <si>
    <t>Pickup Time</t>
  </si>
  <si>
    <t>Crew</t>
  </si>
  <si>
    <t>Vehicle</t>
  </si>
  <si>
    <t>Supervisor</t>
  </si>
  <si>
    <t>Special Instructions</t>
  </si>
  <si>
    <t>Pre-Move Confirmed?</t>
  </si>
  <si>
    <t>08:00</t>
  </si>
  <si>
    <t>Cumilla Sadar</t>
  </si>
  <si>
    <t>Team A</t>
  </si>
  <si>
    <t>Truck 1</t>
  </si>
  <si>
    <t>Karim</t>
  </si>
  <si>
    <t>Scheduled</t>
  </si>
  <si>
    <t>Fragile TV and glass table</t>
  </si>
  <si>
    <t>07:00</t>
  </si>
  <si>
    <t>Team B</t>
  </si>
  <si>
    <t>Truck 2</t>
  </si>
  <si>
    <t>Rashed</t>
  </si>
  <si>
    <t>Pending Deposit</t>
  </si>
  <si>
    <t>Server packing, lift booking required</t>
  </si>
  <si>
    <t>09:00</t>
  </si>
  <si>
    <t>Disposal / N/A</t>
  </si>
  <si>
    <t>Team C</t>
  </si>
  <si>
    <t>Van 1</t>
  </si>
  <si>
    <t>Sohel</t>
  </si>
  <si>
    <t>Waste removal and key handover</t>
  </si>
  <si>
    <t>10:00</t>
  </si>
  <si>
    <t>Team D</t>
  </si>
  <si>
    <t>Pickup 1</t>
  </si>
  <si>
    <t>Nayeem</t>
  </si>
  <si>
    <t>Furniture placement</t>
  </si>
  <si>
    <t>21:00</t>
  </si>
  <si>
    <t>08:30</t>
  </si>
  <si>
    <t>Local disposal facility</t>
  </si>
  <si>
    <t>Take disposal photos</t>
  </si>
  <si>
    <t>Allocation ID</t>
  </si>
  <si>
    <t>Staff Name</t>
  </si>
  <si>
    <t>Role</t>
  </si>
  <si>
    <t>Daily Rate</t>
  </si>
  <si>
    <t>Start Time</t>
  </si>
  <si>
    <t>Finish Time</t>
  </si>
  <si>
    <t>Total Hours</t>
  </si>
  <si>
    <t>Overtime Hours</t>
  </si>
  <si>
    <t>Job Allowance</t>
  </si>
  <si>
    <t>Total Labour Cost</t>
  </si>
  <si>
    <t>Attendance Status</t>
  </si>
  <si>
    <t>LAB-0001</t>
  </si>
  <si>
    <t>Karim Uddin</t>
  </si>
  <si>
    <t>Team Leader</t>
  </si>
  <si>
    <t>18:00</t>
  </si>
  <si>
    <t>Assigned</t>
  </si>
  <si>
    <t>LAB-0002</t>
  </si>
  <si>
    <t>Rahim Ali</t>
  </si>
  <si>
    <t>Mover / Loader</t>
  </si>
  <si>
    <t>LAB-0003</t>
  </si>
  <si>
    <t>Sohel Rana</t>
  </si>
  <si>
    <t>LAB-0004</t>
  </si>
  <si>
    <t>Jamal Hossain</t>
  </si>
  <si>
    <t>LAB-0005</t>
  </si>
  <si>
    <t>Rashed Khan</t>
  </si>
  <si>
    <t>20:00</t>
  </si>
  <si>
    <t>Office move</t>
  </si>
  <si>
    <t>LAB-0006</t>
  </si>
  <si>
    <t>Hasan Driver</t>
  </si>
  <si>
    <t>Driver</t>
  </si>
  <si>
    <t>LAB-0007</t>
  </si>
  <si>
    <t>15:00</t>
  </si>
  <si>
    <t>LAB-0008</t>
  </si>
  <si>
    <t>Nayeem Islam</t>
  </si>
  <si>
    <t>Mover / Disposal</t>
  </si>
  <si>
    <t>14:00</t>
  </si>
  <si>
    <t>Vehicle ID</t>
  </si>
  <si>
    <t>Vehicle Type</t>
  </si>
  <si>
    <t>Registration</t>
  </si>
  <si>
    <t>Capacity</t>
  </si>
  <si>
    <t>Fuel Estimate</t>
  </si>
  <si>
    <t>Toll Estimate</t>
  </si>
  <si>
    <t>Start Odometer</t>
  </si>
  <si>
    <t>End Odometer</t>
  </si>
  <si>
    <t>Total KM</t>
  </si>
  <si>
    <t>Vehicle Status</t>
  </si>
  <si>
    <t>VEH-0001</t>
  </si>
  <si>
    <t>3 Ton Truck</t>
  </si>
  <si>
    <t>DHAKA-METRO-TR-001</t>
  </si>
  <si>
    <t>30 CBM</t>
  </si>
  <si>
    <t>Cumilla to Dhaka</t>
  </si>
  <si>
    <t>VEH-0002</t>
  </si>
  <si>
    <t>5 Ton Truck</t>
  </si>
  <si>
    <t>DHAKA-METRO-TR-002</t>
  </si>
  <si>
    <t>50 CBM</t>
  </si>
  <si>
    <t>Alam Driver</t>
  </si>
  <si>
    <t>Office relocation</t>
  </si>
  <si>
    <t>VEH-0003</t>
  </si>
  <si>
    <t>Covered Van</t>
  </si>
  <si>
    <t>DHAKA-METRO-VAN-003</t>
  </si>
  <si>
    <t>15 CBM</t>
  </si>
  <si>
    <t>Rafiq Driver</t>
  </si>
  <si>
    <t>Dhaka clearance</t>
  </si>
  <si>
    <t>VEH-0004</t>
  </si>
  <si>
    <t>Pickup</t>
  </si>
  <si>
    <t>COMILLA-PICKUP-004</t>
  </si>
  <si>
    <t>8 CBM</t>
  </si>
  <si>
    <t>Masud Driver</t>
  </si>
  <si>
    <t>Available</t>
  </si>
  <si>
    <t>Move-in</t>
  </si>
  <si>
    <t>VEH-0005</t>
  </si>
  <si>
    <t>COMILLA-VAN-005</t>
  </si>
  <si>
    <t>18 CBM</t>
  </si>
  <si>
    <t>Disposal job</t>
  </si>
  <si>
    <t>Checklist ID</t>
  </si>
  <si>
    <t>Task</t>
  </si>
  <si>
    <t>Mandatory?</t>
  </si>
  <si>
    <t>Responsible</t>
  </si>
  <si>
    <t>Evidence Required</t>
  </si>
  <si>
    <t>PACK-001</t>
  </si>
  <si>
    <t>Pre-Packing</t>
  </si>
  <si>
    <t>Inventory list prepared</t>
  </si>
  <si>
    <t>Complete</t>
  </si>
  <si>
    <t>Inventory register</t>
  </si>
  <si>
    <t>PACK-002</t>
  </si>
  <si>
    <t>Fragile items identified and labelled</t>
  </si>
  <si>
    <t>Photos/labels</t>
  </si>
  <si>
    <t>TV and glass table</t>
  </si>
  <si>
    <t>PACK-003</t>
  </si>
  <si>
    <t>Bubble wrap applied to fragile items</t>
  </si>
  <si>
    <t>Photos</t>
  </si>
  <si>
    <t>PACK-004</t>
  </si>
  <si>
    <t>Furniture covered / protected</t>
  </si>
  <si>
    <t>In Progress</t>
  </si>
  <si>
    <t>PACK-005</t>
  </si>
  <si>
    <t>Boxes labelled by room/category</t>
  </si>
  <si>
    <t>Box labels</t>
  </si>
  <si>
    <t>PACK-006</t>
  </si>
  <si>
    <t>Post-Packing</t>
  </si>
  <si>
    <t>Customer packing sign-off obtained</t>
  </si>
  <si>
    <t>Signed checklist</t>
  </si>
  <si>
    <t>PACK-007</t>
  </si>
  <si>
    <t>Server/electronics special handling plan completed</t>
  </si>
  <si>
    <t>IT checklist</t>
  </si>
  <si>
    <t>Client IT person to supervise</t>
  </si>
  <si>
    <t>PACK-008</t>
  </si>
  <si>
    <t>Glass retail shelves wrapped individually</t>
  </si>
  <si>
    <t>LOAD-001</t>
  </si>
  <si>
    <t>Vehicle inspected before loading</t>
  </si>
  <si>
    <t>Vehicle photo/check</t>
  </si>
  <si>
    <t>LOAD-002</t>
  </si>
  <si>
    <t>Loading sequence planned</t>
  </si>
  <si>
    <t>Loading plan</t>
  </si>
  <si>
    <t>Heavy items first</t>
  </si>
  <si>
    <t>LOAD-003</t>
  </si>
  <si>
    <t>Fragile items secured separately</t>
  </si>
  <si>
    <t>LOAD-004</t>
  </si>
  <si>
    <t>Inventory checked against loaded items</t>
  </si>
  <si>
    <t>Inventory sign-off</t>
  </si>
  <si>
    <t>LOAD-005</t>
  </si>
  <si>
    <t>Pickup site photos taken</t>
  </si>
  <si>
    <t>LOAD-006</t>
  </si>
  <si>
    <t>Customer pickup sign-off received</t>
  </si>
  <si>
    <t>Signed pickup form</t>
  </si>
  <si>
    <t>LOAD-007</t>
  </si>
  <si>
    <t>Lift/common area protection checked</t>
  </si>
  <si>
    <t>Office building</t>
  </si>
  <si>
    <t>Transit ID</t>
  </si>
  <si>
    <t>Checkpoint</t>
  </si>
  <si>
    <t>Planned Time</t>
  </si>
  <si>
    <t>Actual Time</t>
  </si>
  <si>
    <t>Location</t>
  </si>
  <si>
    <t>Reported By</t>
  </si>
  <si>
    <t>Delay?</t>
  </si>
  <si>
    <t>Delay Reason</t>
  </si>
  <si>
    <t>Client Updated?</t>
  </si>
  <si>
    <t>TR-0001</t>
  </si>
  <si>
    <t>Pickup Start</t>
  </si>
  <si>
    <t>TR-0002</t>
  </si>
  <si>
    <t>Pickup Completed</t>
  </si>
  <si>
    <t>TR-0003</t>
  </si>
  <si>
    <t>Departed Pickup</t>
  </si>
  <si>
    <t>10:30</t>
  </si>
  <si>
    <t>Cumilla</t>
  </si>
  <si>
    <t>TR-0004</t>
  </si>
  <si>
    <t>Highway Checkpoint</t>
  </si>
  <si>
    <t>13:00</t>
  </si>
  <si>
    <t>Daudkandi</t>
  </si>
  <si>
    <t>TR-0005</t>
  </si>
  <si>
    <t>Arrival at Drop-off</t>
  </si>
  <si>
    <t>16:00</t>
  </si>
  <si>
    <t>TR-0006</t>
  </si>
  <si>
    <t>Office Pickup Start</t>
  </si>
  <si>
    <t>Kandirpar</t>
  </si>
  <si>
    <t>TR-0007</t>
  </si>
  <si>
    <t>Disposal Site Arrival</t>
  </si>
  <si>
    <t>12:30</t>
  </si>
  <si>
    <t>Cumilla disposal facility</t>
  </si>
  <si>
    <t>DEL-001</t>
  </si>
  <si>
    <t>Drop-off access confirmed before arrival</t>
  </si>
  <si>
    <t>Client confirmation</t>
  </si>
  <si>
    <t>DEL-002</t>
  </si>
  <si>
    <t>Items unloaded carefully</t>
  </si>
  <si>
    <t>Supervisor confirmation</t>
  </si>
  <si>
    <t>DEL-003</t>
  </si>
  <si>
    <t>Inventory verified at delivery</t>
  </si>
  <si>
    <t>Inventory reconciliation</t>
  </si>
  <si>
    <t>DEL-004</t>
  </si>
  <si>
    <t>Furniture placed as instructed</t>
  </si>
  <si>
    <t>If included</t>
  </si>
  <si>
    <t>DEL-005</t>
  </si>
  <si>
    <t>Damage check completed</t>
  </si>
  <si>
    <t>Supervisor/Client</t>
  </si>
  <si>
    <t>Photos / sign-off</t>
  </si>
  <si>
    <t>DEL-006</t>
  </si>
  <si>
    <t>Final payment collected before/at final unloading</t>
  </si>
  <si>
    <t>DEL-007</t>
  </si>
  <si>
    <t>Client completion sign-off received</t>
  </si>
  <si>
    <t>Signed delivery form</t>
  </si>
  <si>
    <t>DEL-008</t>
  </si>
  <si>
    <t>IT/server equipment handed to authorised officer</t>
  </si>
  <si>
    <t>Signed handover</t>
  </si>
  <si>
    <t>MI-001</t>
  </si>
  <si>
    <t>Property access confirmed</t>
  </si>
  <si>
    <t>MI-002</t>
  </si>
  <si>
    <t>Electricity activation guidance provided</t>
  </si>
  <si>
    <t>CRM note</t>
  </si>
  <si>
    <t>Coordination only</t>
  </si>
  <si>
    <t>MI-003</t>
  </si>
  <si>
    <t>Internet setup contact shared/coordinated</t>
  </si>
  <si>
    <t>Provider processing not guaranteed</t>
  </si>
  <si>
    <t>MI-004</t>
  </si>
  <si>
    <t>Furniture placement plan confirmed</t>
  </si>
  <si>
    <t>Client/Supervisor</t>
  </si>
  <si>
    <t>Room plan / client note</t>
  </si>
  <si>
    <t>MI-005</t>
  </si>
  <si>
    <t>Deep cleaning completed if selected</t>
  </si>
  <si>
    <t>Cleaning Team</t>
  </si>
  <si>
    <t>MI-006</t>
  </si>
  <si>
    <t>Move-in completion sign-off</t>
  </si>
  <si>
    <t>Signed form</t>
  </si>
  <si>
    <t>MO-001</t>
  </si>
  <si>
    <t>Property clearance scope confirmed</t>
  </si>
  <si>
    <t>Client approval</t>
  </si>
  <si>
    <t>MO-002</t>
  </si>
  <si>
    <t>Customer declared lawful ownership of disposal items</t>
  </si>
  <si>
    <t>Client/Coordinator</t>
  </si>
  <si>
    <t>Signed declaration</t>
  </si>
  <si>
    <t>MO-003</t>
  </si>
  <si>
    <t>Waste removed</t>
  </si>
  <si>
    <t>MO-004</t>
  </si>
  <si>
    <t>End-of-lease cleaning completed</t>
  </si>
  <si>
    <t>Before/after photos</t>
  </si>
  <si>
    <t>MO-005</t>
  </si>
  <si>
    <t>Final photos taken</t>
  </si>
  <si>
    <t>MO-006</t>
  </si>
  <si>
    <t>Key handover coordinated</t>
  </si>
  <si>
    <t>Handover confirmation</t>
  </si>
  <si>
    <t>Task ID</t>
  </si>
  <si>
    <t>Utility / Address Item</t>
  </si>
  <si>
    <t>Action Required</t>
  </si>
  <si>
    <t>Provider / Authority</t>
  </si>
  <si>
    <t>Customer Information Required</t>
  </si>
  <si>
    <t>Seventh Sky Role</t>
  </si>
  <si>
    <t>UTIL-001</t>
  </si>
  <si>
    <t>Electricity</t>
  </si>
  <si>
    <t>Account setup guidance</t>
  </si>
  <si>
    <t>Electricity provider</t>
  </si>
  <si>
    <t>NID, address, meter info</t>
  </si>
  <si>
    <t>Activation not guaranteed</t>
  </si>
  <si>
    <t>UTIL-002</t>
  </si>
  <si>
    <t>Internet</t>
  </si>
  <si>
    <t>Provider connection setup</t>
  </si>
  <si>
    <t>ISP</t>
  </si>
  <si>
    <t>NID, phone, address</t>
  </si>
  <si>
    <t>ISP approval/time not guaranteed</t>
  </si>
  <si>
    <t>UTIL-003</t>
  </si>
  <si>
    <t>Business internet transfer guidance</t>
  </si>
  <si>
    <t>Company docs, address</t>
  </si>
  <si>
    <t>UTIL-004</t>
  </si>
  <si>
    <t>Bank address update</t>
  </si>
  <si>
    <t>Guidance only</t>
  </si>
  <si>
    <t>Client's bank</t>
  </si>
  <si>
    <t>Client authority/documents</t>
  </si>
  <si>
    <t>Customer responsible</t>
  </si>
  <si>
    <t>UTIL-005</t>
  </si>
  <si>
    <t>Government record update guidance</t>
  </si>
  <si>
    <t>Relevant authority</t>
  </si>
  <si>
    <t>Company authorisation</t>
  </si>
  <si>
    <t>No legal advice</t>
  </si>
  <si>
    <t>Delay ID</t>
  </si>
  <si>
    <t>Delay Location</t>
  </si>
  <si>
    <t>Delay Cause</t>
  </si>
  <si>
    <t>Actual Ready Time</t>
  </si>
  <si>
    <t>Delay Hours</t>
  </si>
  <si>
    <t>Rate Per Hour</t>
  </si>
  <si>
    <t>Delay Charge</t>
  </si>
  <si>
    <t>Approved / Notified To Client</t>
  </si>
  <si>
    <t>DLY-0001</t>
  </si>
  <si>
    <t>Drop-off</t>
  </si>
  <si>
    <t>Lift access not available on arrival</t>
  </si>
  <si>
    <t>18:15</t>
  </si>
  <si>
    <t>Charge per hour or part thereof may be rounded as per policy</t>
  </si>
  <si>
    <t>DLY-0002</t>
  </si>
  <si>
    <t>Office keys delayed</t>
  </si>
  <si>
    <t>DLY-0003</t>
  </si>
  <si>
    <t>Client arrived late</t>
  </si>
  <si>
    <t>09:30</t>
  </si>
  <si>
    <t>Notified</t>
  </si>
  <si>
    <t>Incident ID</t>
  </si>
  <si>
    <t>Date</t>
  </si>
  <si>
    <t>Suspicious / Prohibited Item</t>
  </si>
  <si>
    <t>How Identified</t>
  </si>
  <si>
    <t>Immediate Action</t>
  </si>
  <si>
    <t>Police Notified?</t>
  </si>
  <si>
    <t>Shipment Handed to Police?</t>
  </si>
  <si>
    <t>Refund Status</t>
  </si>
  <si>
    <t>ILG-0001</t>
  </si>
  <si>
    <t>SAMPLE-ONLY</t>
  </si>
  <si>
    <t>WO-SAMPLE</t>
  </si>
  <si>
    <t>Sample Client</t>
  </si>
  <si>
    <t>Unlicensed firearm</t>
  </si>
  <si>
    <t>Discovered during loading</t>
  </si>
  <si>
    <t>Service stopped immediately</t>
  </si>
  <si>
    <t>No refund</t>
  </si>
  <si>
    <t>Fictitious example for CRM scenario</t>
  </si>
  <si>
    <t>ILG-0002</t>
  </si>
  <si>
    <t>WO-SAMPLE2</t>
  </si>
  <si>
    <t>Sample Client 2</t>
  </si>
  <si>
    <t>Unlabelled hazardous chemical</t>
  </si>
  <si>
    <t>Customer disclosed during call</t>
  </si>
  <si>
    <t>Service refused before pickup</t>
  </si>
  <si>
    <t>Deposit forfeited as per policy</t>
  </si>
  <si>
    <t>Fictitious example</t>
  </si>
  <si>
    <t>Claim ID</t>
  </si>
  <si>
    <t>Claim Date</t>
  </si>
  <si>
    <t>Item / Area</t>
  </si>
  <si>
    <t>Description</t>
  </si>
  <si>
    <t>Claim Value</t>
  </si>
  <si>
    <t>Existing Damage Recorded?</t>
  </si>
  <si>
    <t>Evidence Available</t>
  </si>
  <si>
    <t>Seventh Sky Liability Position</t>
  </si>
  <si>
    <t>Investigation Status</t>
  </si>
  <si>
    <t>CLM-0001</t>
  </si>
  <si>
    <t>2026-11-16</t>
  </si>
  <si>
    <t>55-inch TV</t>
  </si>
  <si>
    <t>Client reported minor scratch after delivery</t>
  </si>
  <si>
    <t>Delivery photos pending</t>
  </si>
  <si>
    <t>Liability limited by agreement; review goodwill only</t>
  </si>
  <si>
    <t>CLM-0002</t>
  </si>
  <si>
    <t>2026-11-21</t>
  </si>
  <si>
    <t>Office chair</t>
  </si>
  <si>
    <t>Wheel broken during unloading</t>
  </si>
  <si>
    <t>Photo available</t>
  </si>
  <si>
    <t>Review crew handling and claim limitation</t>
  </si>
  <si>
    <t>CLM-0003</t>
  </si>
  <si>
    <t>Wall</t>
  </si>
  <si>
    <t>Minor wall scratch at pickup</t>
  </si>
  <si>
    <t>Potential goodwill repair only</t>
  </si>
  <si>
    <t>Crew retraining recorded</t>
  </si>
  <si>
    <t>Complaint ID</t>
  </si>
  <si>
    <t>Complaint Date</t>
  </si>
  <si>
    <t>Complaint Category</t>
  </si>
  <si>
    <t>Issue Description</t>
  </si>
  <si>
    <t>Assigned To</t>
  </si>
  <si>
    <t>Resolution Target</t>
  </si>
  <si>
    <t>Action Taken</t>
  </si>
  <si>
    <t>CMP-0001</t>
  </si>
  <si>
    <t>Delay</t>
  </si>
  <si>
    <t>Team reached drop-off later than expected</t>
  </si>
  <si>
    <t>Explained traffic/delay record; client updated</t>
  </si>
  <si>
    <t>Open</t>
  </si>
  <si>
    <t>CMP-0002</t>
  </si>
  <si>
    <t>Communication</t>
  </si>
  <si>
    <t>Client requested more frequent transit updates</t>
  </si>
  <si>
    <t>Set hourly update reminder</t>
  </si>
  <si>
    <t>CMP-0003</t>
  </si>
  <si>
    <t>Service Quality</t>
  </si>
  <si>
    <t>Cleaning missed balcony corner</t>
  </si>
  <si>
    <t>2026-11-11</t>
  </si>
  <si>
    <t>Team returned for correction</t>
  </si>
  <si>
    <t>Resolved</t>
  </si>
  <si>
    <t>Incident Type</t>
  </si>
  <si>
    <t>Severity</t>
  </si>
  <si>
    <t>Corrective Action</t>
  </si>
  <si>
    <t>Lessons Learned</t>
  </si>
  <si>
    <t>INC-0001</t>
  </si>
  <si>
    <t>Property Damage</t>
  </si>
  <si>
    <t>Minor wall scratch during sofa removal</t>
  </si>
  <si>
    <t>Photo taken; client informed</t>
  </si>
  <si>
    <t>Crew retraining and corner protection required</t>
  </si>
  <si>
    <t>Use wall protectors in narrow corridors</t>
  </si>
  <si>
    <t>INC-0002</t>
  </si>
  <si>
    <t>Safety</t>
  </si>
  <si>
    <t>Staircase wet during loading</t>
  </si>
  <si>
    <t>Paused loading until dried</t>
  </si>
  <si>
    <t>Pre-start safety check updated</t>
  </si>
  <si>
    <t>Document hazards before work</t>
  </si>
  <si>
    <t>INC-0003</t>
  </si>
  <si>
    <t>Access Issue</t>
  </si>
  <si>
    <t>Truck loading zone blocked</t>
  </si>
  <si>
    <t>Called building management</t>
  </si>
  <si>
    <t>Confirm loading bay 24 hours before move</t>
  </si>
  <si>
    <t>Feedback ID</t>
  </si>
  <si>
    <t>Feedback Date</t>
  </si>
  <si>
    <t>Punctuality Rating /5</t>
  </si>
  <si>
    <t>Care Rating /5</t>
  </si>
  <si>
    <t>Communication Rating /5</t>
  </si>
  <si>
    <t>Overall Rating /5</t>
  </si>
  <si>
    <t>Would Recommend?</t>
  </si>
  <si>
    <t>Comments</t>
  </si>
  <si>
    <t>Follow-Up Required?</t>
  </si>
  <si>
    <t>FB-0001</t>
  </si>
  <si>
    <t>Good service; minor delay in cleaning correction</t>
  </si>
  <si>
    <t>FB-0002</t>
  </si>
  <si>
    <t>FB-0003</t>
  </si>
  <si>
    <t>Risk ID</t>
  </si>
  <si>
    <t>Risk Category</t>
  </si>
  <si>
    <t>Likelihood</t>
  </si>
  <si>
    <t>Impact</t>
  </si>
  <si>
    <t>Risk Rating</t>
  </si>
  <si>
    <t>Mitigation / Control</t>
  </si>
  <si>
    <t>Owner</t>
  </si>
  <si>
    <t>Review Date</t>
  </si>
  <si>
    <t>RISK-0001</t>
  </si>
  <si>
    <t>Prohibited Items</t>
  </si>
  <si>
    <t>Customer attempts to transport illegal or prohibited items</t>
  </si>
  <si>
    <t>Critical</t>
  </si>
  <si>
    <t>Mandatory declaration, staff training, police reporting protocol</t>
  </si>
  <si>
    <t>RISK-0002</t>
  </si>
  <si>
    <t>Furniture/building damage during moving</t>
  </si>
  <si>
    <t>Inventory photos, careful handling, limitation clause, claims process</t>
  </si>
  <si>
    <t>RISK-0003</t>
  </si>
  <si>
    <t>Customer Delay</t>
  </si>
  <si>
    <t>Customer fails to provide access at pickup/drop-off</t>
  </si>
  <si>
    <t>Access confirmation and BDT 1,000/hour delay charge tracker</t>
  </si>
  <si>
    <t>RISK-0004</t>
  </si>
  <si>
    <t>Traffic/Transit Delay</t>
  </si>
  <si>
    <t>Road congestion delays delivery</t>
  </si>
  <si>
    <t>Transit tracker and client status updates</t>
  </si>
  <si>
    <t>RISK-0005</t>
  </si>
  <si>
    <t>Payment Risk</t>
  </si>
  <si>
    <t>Client refuses final balance after unloading</t>
  </si>
  <si>
    <t>Collect balance before/at final unloading as per Work Order</t>
  </si>
  <si>
    <t>RISK-0006</t>
  </si>
  <si>
    <t>Inventory Dispute</t>
  </si>
  <si>
    <t>Client alleges missing items</t>
  </si>
  <si>
    <t>Inventory list, loading and delivery sign-off, photos</t>
  </si>
  <si>
    <t>RISK-0007</t>
  </si>
  <si>
    <t>Utility Delay</t>
  </si>
  <si>
    <t>Utility provider does not activate service on time</t>
  </si>
  <si>
    <t>Coordination-only disclaimer and customer acknowledgment</t>
  </si>
  <si>
    <t>RISK-0008</t>
  </si>
  <si>
    <t>Staff Safety</t>
  </si>
  <si>
    <t>Manual handling injury risk</t>
  </si>
  <si>
    <t>Lifting procedure, PPE, team leader supervision</t>
  </si>
  <si>
    <t>Closure ID</t>
  </si>
  <si>
    <t>Service Completed?</t>
  </si>
  <si>
    <t>Delivery Sign-Off Received?</t>
  </si>
  <si>
    <t>Final Payment Received?</t>
  </si>
  <si>
    <t>Delay Charges Settled?</t>
  </si>
  <si>
    <t>Claims Open?</t>
  </si>
  <si>
    <t>Complaint Open?</t>
  </si>
  <si>
    <t>Feedback Sent?</t>
  </si>
  <si>
    <t>Documents Archived?</t>
  </si>
  <si>
    <t>Closure Status</t>
  </si>
  <si>
    <t>CLOSE-0001</t>
  </si>
  <si>
    <t>Job scheduled</t>
  </si>
  <si>
    <t>CLOSE-0002</t>
  </si>
  <si>
    <t>Await deposit</t>
  </si>
  <si>
    <t>CLOSE-0003</t>
  </si>
  <si>
    <t>CLOSE-0004</t>
  </si>
  <si>
    <t>Disposal scheduled</t>
  </si>
  <si>
    <t>KPI</t>
  </si>
  <si>
    <t>Target</t>
  </si>
  <si>
    <t>Current Value</t>
  </si>
  <si>
    <t>Data Source</t>
  </si>
  <si>
    <t>Review Frequency</t>
  </si>
  <si>
    <t>Lead response time</t>
  </si>
  <si>
    <t>Within 1 business day</t>
  </si>
  <si>
    <t>Weekly</t>
  </si>
  <si>
    <t>Quote turnaround</t>
  </si>
  <si>
    <t>Within 2 business days after inspection</t>
  </si>
  <si>
    <t>Agreement before job</t>
  </si>
  <si>
    <t>100%</t>
  </si>
  <si>
    <t>No job without signed agreement</t>
  </si>
  <si>
    <t>Declaration before job</t>
  </si>
  <si>
    <t>Prohibited Item Declaration</t>
  </si>
  <si>
    <t>Admin/Coordinator</t>
  </si>
  <si>
    <t>Mandatory</t>
  </si>
  <si>
    <t>Deposit before work order confirmation</t>
  </si>
  <si>
    <t>On-time pickup rate</t>
  </si>
  <si>
    <t>90%+</t>
  </si>
  <si>
    <t>Monthly</t>
  </si>
  <si>
    <t>On-time delivery rate</t>
  </si>
  <si>
    <t>Customer-caused delay recovery</t>
  </si>
  <si>
    <t>100% of applicable charges</t>
  </si>
  <si>
    <t>Delay Charge Register</t>
  </si>
  <si>
    <t>Inventory photo compliance</t>
  </si>
  <si>
    <t>95%+</t>
  </si>
  <si>
    <t>Inventory Register</t>
  </si>
  <si>
    <t>Complaint acknowledgement</t>
  </si>
  <si>
    <t>Complaint Register</t>
  </si>
  <si>
    <t>Claim closure time</t>
  </si>
  <si>
    <t>Within 7 business days where possible</t>
  </si>
  <si>
    <t>Damage Claim Register</t>
  </si>
  <si>
    <t>Customer satisfaction</t>
  </si>
  <si>
    <t>4.5/5+</t>
  </si>
  <si>
    <t>Feedback Register</t>
  </si>
  <si>
    <t>Management</t>
  </si>
  <si>
    <t>Final payment collection</t>
  </si>
  <si>
    <t>100% before closure</t>
  </si>
  <si>
    <t>Illegal item incidents</t>
  </si>
  <si>
    <t>0 target / report all incidents</t>
  </si>
  <si>
    <t>Illegal Items Incident Reg</t>
  </si>
  <si>
    <t>CRM Module</t>
  </si>
  <si>
    <t>Trigger</t>
  </si>
  <si>
    <t>Automated Action</t>
  </si>
  <si>
    <t>Required Fields</t>
  </si>
  <si>
    <t>Lead Management</t>
  </si>
  <si>
    <t>Customer enquiry submitted</t>
  </si>
  <si>
    <t>Create enquiry ID, assign staff, send acknowledgement</t>
  </si>
  <si>
    <t>Name, mobile, pickup, drop-off, service type, move date</t>
  </si>
  <si>
    <t>Needs Analysis</t>
  </si>
  <si>
    <t>Lead contacted</t>
  </si>
  <si>
    <t>Open guided questionnaire</t>
  </si>
  <si>
    <t>Items, fragile items, access, service type, urgency</t>
  </si>
  <si>
    <t>Inspection Scheduling</t>
  </si>
  <si>
    <t>Inspection required</t>
  </si>
  <si>
    <t>Create inspection task and reminder</t>
  </si>
  <si>
    <t>Date, address, inspector, customer contact</t>
  </si>
  <si>
    <t>Quotation</t>
  </si>
  <si>
    <t>Inspection completed</t>
  </si>
  <si>
    <t>Generate quote from cost fields</t>
  </si>
  <si>
    <t>Labour, truck, fuel, packing, disposal, coordination fee</t>
  </si>
  <si>
    <t>Agreement</t>
  </si>
  <si>
    <t>Quote accepted</t>
  </si>
  <si>
    <t>Generate Customer Agreement + Work Order</t>
  </si>
  <si>
    <t>Quote details, service details, legal clauses</t>
  </si>
  <si>
    <t>Agreement sent</t>
  </si>
  <si>
    <t>Require declaration before job confirmation</t>
  </si>
  <si>
    <t>Customer declaration, police reporting acceptance</t>
  </si>
  <si>
    <t>Mandatory gate</t>
  </si>
  <si>
    <t>Payment</t>
  </si>
  <si>
    <t>Agreement signed</t>
  </si>
  <si>
    <t>Send deposit invoice and reminder</t>
  </si>
  <si>
    <t>Quote total, deposit, balance</t>
  </si>
  <si>
    <t>Work Order</t>
  </si>
  <si>
    <t>Create work order and allocate resources</t>
  </si>
  <si>
    <t>Date, crew, vehicle, supervisor, special notes</t>
  </si>
  <si>
    <t>Operations</t>
  </si>
  <si>
    <t>Job Day Checklist</t>
  </si>
  <si>
    <t>Work order scheduled</t>
  </si>
  <si>
    <t>Activate packing/loading/transit/delivery checklists</t>
  </si>
  <si>
    <t>WO No, client, inventory, access</t>
  </si>
  <si>
    <t>Delay Charges</t>
  </si>
  <si>
    <t>Delay recorded</t>
  </si>
  <si>
    <t>Calculate BDT 1,000/hour charge</t>
  </si>
  <si>
    <t>Delay hours, reason, location</t>
  </si>
  <si>
    <t>Supervisor/Accounts</t>
  </si>
  <si>
    <t>Claims</t>
  </si>
  <si>
    <t>Claim logged</t>
  </si>
  <si>
    <t>Assign investigation and evidence checklist</t>
  </si>
  <si>
    <t>Claim item, photos, inventory, sign-off</t>
  </si>
  <si>
    <t>Feedback</t>
  </si>
  <si>
    <t>Job completed</t>
  </si>
  <si>
    <t>Send feedback form after service</t>
  </si>
  <si>
    <t>Client, WO, rating questions</t>
  </si>
  <si>
    <t>Closure</t>
  </si>
  <si>
    <t>Final payment and sign-off complete</t>
  </si>
  <si>
    <t>Close job and archive file</t>
  </si>
  <si>
    <t>Payment, sign-off, feedback,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</si>
</sst>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৳#,##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73B4C"/>
      </patternFill>
    </fill>
    <fill>
      <patternFill patternType="solid">
        <fgColor rgb="FFE6F2F6"/>
      </patternFill>
    </fill>
    <fill>
      <patternFill patternType="solid">
        <fgColor rgb="FF0F5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StatusValuesTbl" displayName="ListsStatusValuesTbl" ref="A1:D38">
  <tableColumns count="4">
    <tableColumn id="1" xr3:uid="{00000000-0010-0000-0000-000001000000}" name="List Type"/>
    <tableColumn id="2" xr3:uid="{00000000-0010-0000-0000-000002000000}" name="Value"/>
    <tableColumn id="3" xr3:uid="{00000000-0010-0000-0000-000003000000}" name="Use In Sheet"/>
    <tableColumn id="4" xr3:uid="{00000000-0010-0000-0000-00000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entEnquiryRegisterTbl" displayName="ClientEnquiryRegisterTbl" ref="A1:P7">
  <tableColumns count="16">
    <tableColumn id="1" xr3:uid="{00000000-0010-0000-0100-000001000000}" name="Enquiry ID"/>
    <tableColumn id="2" xr3:uid="{00000000-0010-0000-0100-000002000000}" name="Date Received"/>
    <tableColumn id="3" xr3:uid="{00000000-0010-0000-0100-000003000000}" name="Client Name"/>
    <tableColumn id="4" xr3:uid="{00000000-0010-0000-0100-000004000000}" name="Client Type"/>
    <tableColumn id="5" xr3:uid="{00000000-0010-0000-0100-000005000000}" name="Mobile"/>
    <tableColumn id="6" xr3:uid="{00000000-0010-0000-0100-000006000000}" name="Email"/>
    <tableColumn id="7" xr3:uid="{00000000-0010-0000-0100-000007000000}" name="Service Type"/>
    <tableColumn id="8" xr3:uid="{00000000-0010-0000-0100-000008000000}" name="Pickup Address"/>
    <tableColumn id="9" xr3:uid="{00000000-0010-0000-0100-000009000000}" name="Drop-off Address"/>
    <tableColumn id="10" xr3:uid="{00000000-0010-0000-0100-00000A000000}" name="Move Date"/>
    <tableColumn id="11" xr3:uid="{00000000-0010-0000-0100-00000B000000}" name="Lead Source"/>
    <tableColumn id="12" xr3:uid="{00000000-0010-0000-0100-00000C000000}" name="Assigned Staff"/>
    <tableColumn id="13" xr3:uid="{00000000-0010-0000-0100-00000D000000}" name="Status"/>
    <tableColumn id="14" xr3:uid="{00000000-0010-0000-0100-00000E000000}" name="Follow-up Date"/>
    <tableColumn id="15" xr3:uid="{00000000-0010-0000-0100-00000F000000}" name="Outcome / Next Action"/>
    <tableColumn id="16" xr3:uid="{00000000-0010-0000-0100-000010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terpriseWorkflowTbl" displayName="EnterpriseWorkflowTbl" ref="A1:I16">
  <tableColumns count="9">
    <tableColumn id="1" xr3:uid="{00000000-0010-0000-0200-000001000000}" name="Stage No"/>
    <tableColumn id="2" xr3:uid="{00000000-0010-0000-0200-000002000000}" name="Stage"/>
    <tableColumn id="3" xr3:uid="{00000000-0010-0000-0200-000003000000}" name="Detailed Activity"/>
    <tableColumn id="4" xr3:uid="{00000000-0010-0000-0200-000004000000}" name="Responsible Role"/>
    <tableColumn id="5" xr3:uid="{00000000-0010-0000-0200-000005000000}" name="Required CRM Record"/>
    <tableColumn id="6" xr3:uid="{00000000-0010-0000-0200-000006000000}" name="Mandatory Evidence"/>
    <tableColumn id="7" xr3:uid="{00000000-0010-0000-0200-000007000000}" name="Status Outcome"/>
    <tableColumn id="8" xr3:uid="{00000000-0010-0000-0200-000008000000}" name="Automation / CRM Requirement"/>
    <tableColumn id="9" xr3:uid="{00000000-0010-0000-0200-000009000000}" name="Risk Contro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eedsAnalysisRegisterTbl" displayName="NeedsAnalysisRegisterTbl" ref="A1:Q7">
  <tableColumns count="17">
    <tableColumn id="1" xr3:uid="{00000000-0010-0000-0300-000001000000}" name="Needs ID"/>
    <tableColumn id="2" xr3:uid="{00000000-0010-0000-0300-000002000000}" name="Enquiry ID"/>
    <tableColumn id="3" xr3:uid="{00000000-0010-0000-0300-000003000000}" name="Client Name"/>
    <tableColumn id="4" xr3:uid="{00000000-0010-0000-0300-000004000000}" name="Service Type"/>
    <tableColumn id="5" xr3:uid="{00000000-0010-0000-0300-000005000000}" name="Pickup Property Type"/>
    <tableColumn id="6" xr3:uid="{00000000-0010-0000-0300-000006000000}" name="Drop-off Property Type"/>
    <tableColumn id="7" xr3:uid="{00000000-0010-0000-0300-000007000000}" name="Estimated Items"/>
    <tableColumn id="8" xr3:uid="{00000000-0010-0000-0300-000008000000}" name="Fragile Items"/>
    <tableColumn id="9" xr3:uid="{00000000-0010-0000-0300-000009000000}" name="Heavy Items"/>
    <tableColumn id="10" xr3:uid="{00000000-0010-0000-0300-00000A000000}" name="Packing Required?"/>
    <tableColumn id="11" xr3:uid="{00000000-0010-0000-0300-00000B000000}" name="Unpacking Required?"/>
    <tableColumn id="12" xr3:uid="{00000000-0010-0000-0300-00000C000000}" name="Disposal Required?"/>
    <tableColumn id="13" xr3:uid="{00000000-0010-0000-0300-00000D000000}" name="Utility Support?"/>
    <tableColumn id="14" xr3:uid="{00000000-0010-0000-0300-00000E000000}" name="Urgency"/>
    <tableColumn id="15" xr3:uid="{00000000-0010-0000-0300-00000F000000}" name="Access Risk"/>
    <tableColumn id="16" xr3:uid="{00000000-0010-0000-0300-000010000000}" name="Recommended Next Step"/>
    <tableColumn id="17" xr3:uid="{00000000-0010-0000-0300-000011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iteInspectionRegisterTbl" displayName="SiteInspectionRegisterTbl" ref="A1:P7">
  <tableColumns count="16">
    <tableColumn id="1" xr3:uid="{00000000-0010-0000-0400-000001000000}" name="Inspection ID"/>
    <tableColumn id="2" xr3:uid="{00000000-0010-0000-0400-000002000000}" name="Enquiry ID"/>
    <tableColumn id="3" xr3:uid="{00000000-0010-0000-0400-000003000000}" name="Client Name"/>
    <tableColumn id="4" xr3:uid="{00000000-0010-0000-0400-000004000000}" name="Inspection Date"/>
    <tableColumn id="5" xr3:uid="{00000000-0010-0000-0400-000005000000}" name="Inspection Mode"/>
    <tableColumn id="6" xr3:uid="{00000000-0010-0000-0400-000006000000}" name="Pickup Floor"/>
    <tableColumn id="7" xr3:uid="{00000000-0010-0000-0400-000007000000}" name="Drop-off Floor"/>
    <tableColumn id="8" xr3:uid="{00000000-0010-0000-0400-000008000000}" name="Lift Available"/>
    <tableColumn id="9" xr3:uid="{00000000-0010-0000-0400-000009000000}" name="Truck Access"/>
    <tableColumn id="10" xr3:uid="{00000000-0010-0000-0400-00000A000000}" name="Parking Available"/>
    <tableColumn id="11" xr3:uid="{00000000-0010-0000-0400-00000B000000}" name="Estimated Volume CBM"/>
    <tableColumn id="12" xr3:uid="{00000000-0010-0000-0400-00000C000000}" name="Fragile Items"/>
    <tableColumn id="13" xr3:uid="{00000000-0010-0000-0400-00000D000000}" name="Heavy / Special Items"/>
    <tableColumn id="14" xr3:uid="{00000000-0010-0000-0400-00000E000000}" name="Existing Damage Photos?"/>
    <tableColumn id="15" xr3:uid="{00000000-0010-0000-0400-00000F000000}" name="Outcome"/>
    <tableColumn id="16" xr3:uid="{00000000-0010-0000-0400-000010000000}" name="Inspector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hibitedItemDeclaratTbl" displayName="ProhibitedItemDeclaratTbl" ref="A1:M7">
  <tableColumns count="13">
    <tableColumn id="1" xr3:uid="{00000000-0010-0000-0500-000001000000}" name="Declaration ID"/>
    <tableColumn id="2" xr3:uid="{00000000-0010-0000-0500-000002000000}" name="Enquiry ID"/>
    <tableColumn id="3" xr3:uid="{00000000-0010-0000-0500-000003000000}" name="Client Name"/>
    <tableColumn id="4" xr3:uid="{00000000-0010-0000-0500-000004000000}" name="Declaration Date"/>
    <tableColumn id="5" xr3:uid="{00000000-0010-0000-0500-000005000000}" name="Customer Declares All Items Legal?"/>
    <tableColumn id="6" xr3:uid="{00000000-0010-0000-0500-000006000000}" name="Illegal Items Explained?"/>
    <tableColumn id="7" xr3:uid="{00000000-0010-0000-0500-000007000000}" name="Police Reporting Clause Accepted?"/>
    <tableColumn id="8" xr3:uid="{00000000-0010-0000-0500-000008000000}" name="No Refund Clause Accepted?"/>
    <tableColumn id="9" xr3:uid="{00000000-0010-0000-0500-000009000000}" name="Shipment Handover to Police Clause Accepted?"/>
    <tableColumn id="10" xr3:uid="{00000000-0010-0000-0500-00000A000000}" name="Customer Signature Status"/>
    <tableColumn id="11" xr3:uid="{00000000-0010-0000-0500-00000B000000}" name="Staff Verified"/>
    <tableColumn id="12" xr3:uid="{00000000-0010-0000-0500-00000C000000}" name="Compliance Status"/>
    <tableColumn id="13" xr3:uid="{00000000-0010-0000-0500-00000D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ventoryRegisterTbl" displayName="InventoryRegisterTbl" ref="A1:Q11">
  <tableColumns count="17">
    <tableColumn id="1" xr3:uid="{00000000-0010-0000-0600-000001000000}" name="Inventory ID"/>
    <tableColumn id="2" xr3:uid="{00000000-0010-0000-0600-000002000000}" name="Enquiry ID"/>
    <tableColumn id="3" xr3:uid="{00000000-0010-0000-0600-000003000000}" name="Client Name"/>
    <tableColumn id="4" xr3:uid="{00000000-0010-0000-0600-000004000000}" name="Item Category"/>
    <tableColumn id="5" xr3:uid="{00000000-0010-0000-0600-000005000000}" name="Item Description"/>
    <tableColumn id="6" xr3:uid="{00000000-0010-0000-0600-000006000000}" name="Qty"/>
    <tableColumn id="7" xr3:uid="{00000000-0010-0000-0600-000007000000}" name="Condition Before"/>
    <tableColumn id="8" xr3:uid="{00000000-0010-0000-0600-000008000000}" name="Existing Damage Noted?"/>
    <tableColumn id="9" xr3:uid="{00000000-0010-0000-0600-000009000000}" name="Photo Taken?"/>
    <tableColumn id="10" xr3:uid="{00000000-0010-0000-0600-00000A000000}" name="Fragile?"/>
    <tableColumn id="11" xr3:uid="{00000000-0010-0000-0600-00000B000000}" name="High Value?"/>
    <tableColumn id="12" xr3:uid="{00000000-0010-0000-0600-00000C000000}" name="Packed By"/>
    <tableColumn id="13" xr3:uid="{00000000-0010-0000-0600-00000D000000}" name="Box/Label No"/>
    <tableColumn id="14" xr3:uid="{00000000-0010-0000-0600-00000E000000}" name="Loaded?"/>
    <tableColumn id="15" xr3:uid="{00000000-0010-0000-0600-00000F000000}" name="Delivered?"/>
    <tableColumn id="16" xr3:uid="{00000000-0010-0000-0600-000010000000}" name="Condition After"/>
    <tableColumn id="17" xr3:uid="{00000000-0010-0000-0600-000011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otationRegisterTbl" displayName="QuotationRegisterTbl" ref="A1:R7">
  <tableColumns count="18">
    <tableColumn id="1" xr3:uid="{00000000-0010-0000-0700-000001000000}" name="Quote No"/>
    <tableColumn id="2" xr3:uid="{00000000-0010-0000-0700-000002000000}" name="Enquiry ID"/>
    <tableColumn id="3" xr3:uid="{00000000-0010-0000-0700-000003000000}" name="Client Name"/>
    <tableColumn id="4" xr3:uid="{00000000-0010-0000-0700-000004000000}" name="Service Type"/>
    <tableColumn id="5" xr3:uid="{00000000-0010-0000-0700-000005000000}" name="Labour Cost"/>
    <tableColumn id="6" xr3:uid="{00000000-0010-0000-0700-000006000000}" name="Truck / Transport Cost"/>
    <tableColumn id="7" xr3:uid="{00000000-0010-0000-0700-000007000000}" name="Fuel / Toll Cost"/>
    <tableColumn id="8" xr3:uid="{00000000-0010-0000-0700-000008000000}" name="Packing Materials"/>
    <tableColumn id="9" xr3:uid="{00000000-0010-0000-0700-000009000000}" name="Disposal Fee"/>
    <tableColumn id="10" xr3:uid="{00000000-0010-0000-0700-00000A000000}" name="Utility Coordination Fee"/>
    <tableColumn id="11" xr3:uid="{00000000-0010-0000-0700-00000B000000}" name="Seventh Sky Coordination Fee"/>
    <tableColumn id="12" xr3:uid="{00000000-0010-0000-0700-00000C000000}" name="Delay Rate Per Hour"/>
    <tableColumn id="13" xr3:uid="{00000000-0010-0000-0700-00000D000000}" name="Insurance Option"/>
    <tableColumn id="14" xr3:uid="{00000000-0010-0000-0700-00000E000000}" name="Discount"/>
    <tableColumn id="15" xr3:uid="{00000000-0010-0000-0700-00000F000000}" name="Total Quote"/>
    <tableColumn id="16" xr3:uid="{00000000-0010-0000-0700-000010000000}" name="Validity"/>
    <tableColumn id="17" xr3:uid="{00000000-0010-0000-0700-000011000000}" name="Client Decision"/>
    <tableColumn id="18" xr3:uid="{00000000-0010-0000-0700-000012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greementRegisterTbl" displayName="AgreementRegisterTbl" ref="A1:M7">
  <tableColumns count="13">
    <tableColumn id="1" xr3:uid="{00000000-0010-0000-0800-000001000000}" name="Agreement ID"/>
    <tableColumn id="2" xr3:uid="{00000000-0010-0000-0800-000002000000}" name="Enquiry ID"/>
    <tableColumn id="3" xr3:uid="{00000000-0010-0000-0800-000003000000}" name="Client Name"/>
    <tableColumn id="4" xr3:uid="{00000000-0010-0000-0800-000004000000}" name="Agreement Sent Date"/>
    <tableColumn id="5" xr3:uid="{00000000-0010-0000-0800-000005000000}" name="Agreement Signed Date"/>
    <tableColumn id="6" xr3:uid="{00000000-0010-0000-0800-000006000000}" name="Work Order Ref"/>
    <tableColumn id="7" xr3:uid="{00000000-0010-0000-0800-000007000000}" name="Prohibited Item Declaration Signed?"/>
    <tableColumn id="8" xr3:uid="{00000000-0010-0000-0800-000008000000}" name="Damage / Loss Limitation Accepted?"/>
    <tableColumn id="9" xr3:uid="{00000000-0010-0000-0800-000009000000}" name="Delay Charge Accepted?"/>
    <tableColumn id="10" xr3:uid="{00000000-0010-0000-0800-00000A000000}" name="Payment Terms Accepted?"/>
    <tableColumn id="11" xr3:uid="{00000000-0010-0000-0800-00000B000000}" name="Agreement Status"/>
    <tableColumn id="12" xr3:uid="{00000000-0010-0000-0800-00000C000000}" name="Storage Link"/>
    <tableColumn id="13" xr3:uid="{00000000-0010-0000-0800-00000D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ymentRegisterTbl" displayName="PaymentRegisterTbl" ref="A1:O7">
  <tableColumns count="15">
    <tableColumn id="1" xr3:uid="{00000000-0010-0000-0900-000001000000}" name="Payment ID"/>
    <tableColumn id="2" xr3:uid="{00000000-0010-0000-0900-000002000000}" name="Enquiry ID"/>
    <tableColumn id="3" xr3:uid="{00000000-0010-0000-0900-000003000000}" name="Client Name"/>
    <tableColumn id="4" xr3:uid="{00000000-0010-0000-0900-000004000000}" name="Quote Total"/>
    <tableColumn id="5" xr3:uid="{00000000-0010-0000-0900-000005000000}" name="Deposit Required"/>
    <tableColumn id="6" xr3:uid="{00000000-0010-0000-0900-000006000000}" name="Deposit Received"/>
    <tableColumn id="7" xr3:uid="{00000000-0010-0000-0900-000007000000}" name="Balance Due"/>
    <tableColumn id="8" xr3:uid="{00000000-0010-0000-0900-000008000000}" name="Additional Delay Charge"/>
    <tableColumn id="9" xr3:uid="{00000000-0010-0000-0900-000009000000}" name="Other Approved Charges"/>
    <tableColumn id="10" xr3:uid="{00000000-0010-0000-0900-00000A000000}" name="Total Payable"/>
    <tableColumn id="11" xr3:uid="{00000000-0010-0000-0900-00000B000000}" name="Total Paid"/>
    <tableColumn id="12" xr3:uid="{00000000-0010-0000-0900-00000C000000}" name="Outstanding"/>
    <tableColumn id="13" xr3:uid="{00000000-0010-0000-0900-00000D000000}" name="Payment Status"/>
    <tableColumn id="14" xr3:uid="{00000000-0010-0000-0900-00000E000000}" name="Receipt No"/>
    <tableColumn id="15" xr3:uid="{00000000-0010-0000-0900-00000F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WorkOrderRegisterTbl" displayName="WorkOrderRegisterTbl" ref="A1:P7">
  <tableColumns count="16">
    <tableColumn id="1" xr3:uid="{00000000-0010-0000-0A00-000001000000}" name="WO No"/>
    <tableColumn id="2" xr3:uid="{00000000-0010-0000-0A00-000002000000}" name="Enquiry ID"/>
    <tableColumn id="3" xr3:uid="{00000000-0010-0000-0A00-000003000000}" name="Client Name"/>
    <tableColumn id="4" xr3:uid="{00000000-0010-0000-0A00-000004000000}" name="Service Type"/>
    <tableColumn id="5" xr3:uid="{00000000-0010-0000-0A00-000005000000}" name="Service Date"/>
    <tableColumn id="6" xr3:uid="{00000000-0010-0000-0A00-000006000000}" name="Pickup Time"/>
    <tableColumn id="7" xr3:uid="{00000000-0010-0000-0A00-000007000000}" name="Pickup Address"/>
    <tableColumn id="8" xr3:uid="{00000000-0010-0000-0A00-000008000000}" name="Drop-off Address"/>
    <tableColumn id="9" xr3:uid="{00000000-0010-0000-0A00-000009000000}" name="Crew"/>
    <tableColumn id="10" xr3:uid="{00000000-0010-0000-0A00-00000A000000}" name="Vehicle"/>
    <tableColumn id="11" xr3:uid="{00000000-0010-0000-0A00-00000B000000}" name="Supervisor"/>
    <tableColumn id="12" xr3:uid="{00000000-0010-0000-0A00-00000C000000}" name="Priority"/>
    <tableColumn id="13" xr3:uid="{00000000-0010-0000-0A00-00000D000000}" name="Status"/>
    <tableColumn id="14" xr3:uid="{00000000-0010-0000-0A00-00000E000000}" name="Special Instructions"/>
    <tableColumn id="15" xr3:uid="{00000000-0010-0000-0A00-00000F000000}" name="Pre-Move Confirmed?"/>
    <tableColumn id="16" xr3:uid="{00000000-0010-0000-0A00-000010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abourAllocationTbl" displayName="LabourAllocationTbl" ref="A1:M9">
  <tableColumns count="13">
    <tableColumn id="1" xr3:uid="{00000000-0010-0000-0B00-000001000000}" name="Allocation ID"/>
    <tableColumn id="2" xr3:uid="{00000000-0010-0000-0B00-000002000000}" name="WO No"/>
    <tableColumn id="3" xr3:uid="{00000000-0010-0000-0B00-000003000000}" name="Staff Name"/>
    <tableColumn id="4" xr3:uid="{00000000-0010-0000-0B00-000004000000}" name="Role"/>
    <tableColumn id="5" xr3:uid="{00000000-0010-0000-0B00-000005000000}" name="Daily Rate"/>
    <tableColumn id="6" xr3:uid="{00000000-0010-0000-0B00-000006000000}" name="Start Time"/>
    <tableColumn id="7" xr3:uid="{00000000-0010-0000-0B00-000007000000}" name="Finish Time"/>
    <tableColumn id="8" xr3:uid="{00000000-0010-0000-0B00-000008000000}" name="Total Hours"/>
    <tableColumn id="9" xr3:uid="{00000000-0010-0000-0B00-000009000000}" name="Overtime Hours"/>
    <tableColumn id="10" xr3:uid="{00000000-0010-0000-0B00-00000A000000}" name="Job Allowance"/>
    <tableColumn id="11" xr3:uid="{00000000-0010-0000-0B00-00000B000000}" name="Total Labour Cost"/>
    <tableColumn id="12" xr3:uid="{00000000-0010-0000-0B00-00000C000000}" name="Attendance Status"/>
    <tableColumn id="13" xr3:uid="{00000000-0010-0000-0B00-00000D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VehicleAllocationTbl" displayName="VehicleAllocationTbl" ref="A1:M6">
  <tableColumns count="13">
    <tableColumn id="1" xr3:uid="{00000000-0010-0000-0C00-000001000000}" name="Vehicle ID"/>
    <tableColumn id="2" xr3:uid="{00000000-0010-0000-0C00-000002000000}" name="WO No"/>
    <tableColumn id="3" xr3:uid="{00000000-0010-0000-0C00-000003000000}" name="Vehicle Type"/>
    <tableColumn id="4" xr3:uid="{00000000-0010-0000-0C00-000004000000}" name="Registration"/>
    <tableColumn id="5" xr3:uid="{00000000-0010-0000-0C00-000005000000}" name="Capacity"/>
    <tableColumn id="6" xr3:uid="{00000000-0010-0000-0C00-000006000000}" name="Driver"/>
    <tableColumn id="7" xr3:uid="{00000000-0010-0000-0C00-000007000000}" name="Fuel Estimate"/>
    <tableColumn id="8" xr3:uid="{00000000-0010-0000-0C00-000008000000}" name="Toll Estimate"/>
    <tableColumn id="9" xr3:uid="{00000000-0010-0000-0C00-000009000000}" name="Start Odometer"/>
    <tableColumn id="10" xr3:uid="{00000000-0010-0000-0C00-00000A000000}" name="End Odometer"/>
    <tableColumn id="11" xr3:uid="{00000000-0010-0000-0C00-00000B000000}" name="Total KM"/>
    <tableColumn id="12" xr3:uid="{00000000-0010-0000-0C00-00000C000000}" name="Vehicle Status"/>
    <tableColumn id="13" xr3:uid="{00000000-0010-0000-0C00-00000D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ackingChecklistTbl" displayName="PackingChecklistTbl" ref="A1:I9">
  <tableColumns count="9">
    <tableColumn id="1" xr3:uid="{00000000-0010-0000-0D00-000001000000}" name="Checklist ID"/>
    <tableColumn id="2" xr3:uid="{00000000-0010-0000-0D00-000002000000}" name="WO No"/>
    <tableColumn id="3" xr3:uid="{00000000-0010-0000-0D00-000003000000}" name="Stage"/>
    <tableColumn id="4" xr3:uid="{00000000-0010-0000-0D00-000004000000}" name="Task"/>
    <tableColumn id="5" xr3:uid="{00000000-0010-0000-0D00-000005000000}" name="Mandatory?"/>
    <tableColumn id="6" xr3:uid="{00000000-0010-0000-0D00-000006000000}" name="Responsible"/>
    <tableColumn id="7" xr3:uid="{00000000-0010-0000-0D00-000007000000}" name="Status"/>
    <tableColumn id="8" xr3:uid="{00000000-0010-0000-0D00-000008000000}" name="Evidence Required"/>
    <tableColumn id="9" xr3:uid="{00000000-0010-0000-0D00-000009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LoadingChecklistTbl" displayName="LoadingChecklistTbl" ref="A1:H8">
  <tableColumns count="8">
    <tableColumn id="1" xr3:uid="{00000000-0010-0000-0E00-000001000000}" name="Checklist ID"/>
    <tableColumn id="2" xr3:uid="{00000000-0010-0000-0E00-000002000000}" name="WO No"/>
    <tableColumn id="3" xr3:uid="{00000000-0010-0000-0E00-000003000000}" name="Task"/>
    <tableColumn id="4" xr3:uid="{00000000-0010-0000-0E00-000004000000}" name="Mandatory?"/>
    <tableColumn id="5" xr3:uid="{00000000-0010-0000-0E00-000005000000}" name="Responsible"/>
    <tableColumn id="6" xr3:uid="{00000000-0010-0000-0E00-000006000000}" name="Status"/>
    <tableColumn id="7" xr3:uid="{00000000-0010-0000-0E00-000007000000}" name="Evidence Required"/>
    <tableColumn id="8" xr3:uid="{00000000-0010-0000-0E00-000008000000}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ransitTrackerTbl" displayName="TransitTrackerTbl" ref="A1:L8">
  <tableColumns count="12">
    <tableColumn id="1" xr3:uid="{00000000-0010-0000-0F00-000001000000}" name="Transit ID"/>
    <tableColumn id="2" xr3:uid="{00000000-0010-0000-0F00-000002000000}" name="WO No"/>
    <tableColumn id="3" xr3:uid="{00000000-0010-0000-0F00-000003000000}" name="Client Name"/>
    <tableColumn id="4" xr3:uid="{00000000-0010-0000-0F00-000004000000}" name="Checkpoint"/>
    <tableColumn id="5" xr3:uid="{00000000-0010-0000-0F00-000005000000}" name="Planned Time"/>
    <tableColumn id="6" xr3:uid="{00000000-0010-0000-0F00-000006000000}" name="Actual Time"/>
    <tableColumn id="7" xr3:uid="{00000000-0010-0000-0F00-000007000000}" name="Location"/>
    <tableColumn id="8" xr3:uid="{00000000-0010-0000-0F00-000008000000}" name="Reported By"/>
    <tableColumn id="9" xr3:uid="{00000000-0010-0000-0F00-000009000000}" name="Delay?"/>
    <tableColumn id="10" xr3:uid="{00000000-0010-0000-0F00-00000A000000}" name="Delay Reason"/>
    <tableColumn id="11" xr3:uid="{00000000-0010-0000-0F00-00000B000000}" name="Client Updated?"/>
    <tableColumn id="12" xr3:uid="{00000000-0010-0000-0F00-00000C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DeliveryChecklistTbl" displayName="DeliveryChecklistTbl" ref="A1:H9">
  <tableColumns count="8">
    <tableColumn id="1" xr3:uid="{00000000-0010-0000-1000-000001000000}" name="Checklist ID"/>
    <tableColumn id="2" xr3:uid="{00000000-0010-0000-1000-000002000000}" name="WO No"/>
    <tableColumn id="3" xr3:uid="{00000000-0010-0000-1000-000003000000}" name="Task"/>
    <tableColumn id="4" xr3:uid="{00000000-0010-0000-1000-000004000000}" name="Mandatory?"/>
    <tableColumn id="5" xr3:uid="{00000000-0010-0000-1000-000005000000}" name="Responsible"/>
    <tableColumn id="6" xr3:uid="{00000000-0010-0000-1000-000006000000}" name="Status"/>
    <tableColumn id="7" xr3:uid="{00000000-0010-0000-1000-000007000000}" name="Evidence Required"/>
    <tableColumn id="8" xr3:uid="{00000000-0010-0000-1000-000008000000}" name="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MoveInChecklistTbl" displayName="MoveInChecklistTbl" ref="A1:H7">
  <tableColumns count="8">
    <tableColumn id="1" xr3:uid="{00000000-0010-0000-1100-000001000000}" name="Checklist ID"/>
    <tableColumn id="2" xr3:uid="{00000000-0010-0000-1100-000002000000}" name="WO No"/>
    <tableColumn id="3" xr3:uid="{00000000-0010-0000-1100-000003000000}" name="Client Name"/>
    <tableColumn id="4" xr3:uid="{00000000-0010-0000-1100-000004000000}" name="Task"/>
    <tableColumn id="5" xr3:uid="{00000000-0010-0000-1100-000005000000}" name="Responsible"/>
    <tableColumn id="6" xr3:uid="{00000000-0010-0000-1100-000006000000}" name="Status"/>
    <tableColumn id="7" xr3:uid="{00000000-0010-0000-1100-000007000000}" name="Evidence Required"/>
    <tableColumn id="8" xr3:uid="{00000000-0010-0000-1100-000008000000}" name="Not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MoveOutChecklistTbl" displayName="MoveOutChecklistTbl" ref="A1:H7">
  <tableColumns count="8">
    <tableColumn id="1" xr3:uid="{00000000-0010-0000-1200-000001000000}" name="Checklist ID"/>
    <tableColumn id="2" xr3:uid="{00000000-0010-0000-1200-000002000000}" name="WO No"/>
    <tableColumn id="3" xr3:uid="{00000000-0010-0000-1200-000003000000}" name="Client Name"/>
    <tableColumn id="4" xr3:uid="{00000000-0010-0000-1200-000004000000}" name="Task"/>
    <tableColumn id="5" xr3:uid="{00000000-0010-0000-1200-000005000000}" name="Responsible"/>
    <tableColumn id="6" xr3:uid="{00000000-0010-0000-1200-000006000000}" name="Status"/>
    <tableColumn id="7" xr3:uid="{00000000-0010-0000-1200-000007000000}" name="Evidence Required"/>
    <tableColumn id="8" xr3:uid="{00000000-0010-0000-1200-000008000000}" name="Not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UtilityAddressTransferTbl" displayName="UtilityAddressTransferTbl" ref="A1:J6">
  <tableColumns count="10">
    <tableColumn id="1" xr3:uid="{00000000-0010-0000-1300-000001000000}" name="Task ID"/>
    <tableColumn id="2" xr3:uid="{00000000-0010-0000-1300-000002000000}" name="Enquiry ID"/>
    <tableColumn id="3" xr3:uid="{00000000-0010-0000-1300-000003000000}" name="Client Name"/>
    <tableColumn id="4" xr3:uid="{00000000-0010-0000-1300-000004000000}" name="Utility / Address Item"/>
    <tableColumn id="5" xr3:uid="{00000000-0010-0000-1300-000005000000}" name="Action Required"/>
    <tableColumn id="6" xr3:uid="{00000000-0010-0000-1300-000006000000}" name="Provider / Authority"/>
    <tableColumn id="7" xr3:uid="{00000000-0010-0000-1300-000007000000}" name="Customer Information Required"/>
    <tableColumn id="8" xr3:uid="{00000000-0010-0000-1300-000008000000}" name="Seventh Sky Role"/>
    <tableColumn id="9" xr3:uid="{00000000-0010-0000-1300-000009000000}" name="Status"/>
    <tableColumn id="10" xr3:uid="{00000000-0010-0000-1300-00000A000000}" name="Not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DelayChargeRegisterTbl" displayName="DelayChargeRegisterTbl" ref="A1:M4">
  <tableColumns count="13">
    <tableColumn id="1" xr3:uid="{00000000-0010-0000-1400-000001000000}" name="Delay ID"/>
    <tableColumn id="2" xr3:uid="{00000000-0010-0000-1400-000002000000}" name="WO No"/>
    <tableColumn id="3" xr3:uid="{00000000-0010-0000-1400-000003000000}" name="Client Name"/>
    <tableColumn id="4" xr3:uid="{00000000-0010-0000-1400-000004000000}" name="Delay Location"/>
    <tableColumn id="5" xr3:uid="{00000000-0010-0000-1400-000005000000}" name="Delay Cause"/>
    <tableColumn id="6" xr3:uid="{00000000-0010-0000-1400-000006000000}" name="Planned Time"/>
    <tableColumn id="7" xr3:uid="{00000000-0010-0000-1400-000007000000}" name="Actual Ready Time"/>
    <tableColumn id="8" xr3:uid="{00000000-0010-0000-1400-000008000000}" name="Delay Hours"/>
    <tableColumn id="9" xr3:uid="{00000000-0010-0000-1400-000009000000}" name="Rate Per Hour"/>
    <tableColumn id="10" xr3:uid="{00000000-0010-0000-1400-00000A000000}" name="Delay Charge"/>
    <tableColumn id="11" xr3:uid="{00000000-0010-0000-1400-00000B000000}" name="Approved / Notified To Client"/>
    <tableColumn id="12" xr3:uid="{00000000-0010-0000-1400-00000C000000}" name="Payment Status"/>
    <tableColumn id="13" xr3:uid="{00000000-0010-0000-1400-00000D000000}" name="Note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IllegalItemsIncidentReTbl" displayName="IllegalItemsIncidentReTbl" ref="A1:M3">
  <tableColumns count="13">
    <tableColumn id="1" xr3:uid="{00000000-0010-0000-1500-000001000000}" name="Incident ID"/>
    <tableColumn id="2" xr3:uid="{00000000-0010-0000-1500-000002000000}" name="Enquiry ID"/>
    <tableColumn id="3" xr3:uid="{00000000-0010-0000-1500-000003000000}" name="WO No"/>
    <tableColumn id="4" xr3:uid="{00000000-0010-0000-1500-000004000000}" name="Client Name"/>
    <tableColumn id="5" xr3:uid="{00000000-0010-0000-1500-000005000000}" name="Date"/>
    <tableColumn id="6" xr3:uid="{00000000-0010-0000-1500-000006000000}" name="Suspicious / Prohibited Item"/>
    <tableColumn id="7" xr3:uid="{00000000-0010-0000-1500-000007000000}" name="How Identified"/>
    <tableColumn id="8" xr3:uid="{00000000-0010-0000-1500-000008000000}" name="Immediate Action"/>
    <tableColumn id="9" xr3:uid="{00000000-0010-0000-1500-000009000000}" name="Police Notified?"/>
    <tableColumn id="10" xr3:uid="{00000000-0010-0000-1500-00000A000000}" name="Shipment Handed to Police?"/>
    <tableColumn id="11" xr3:uid="{00000000-0010-0000-1500-00000B000000}" name="Refund Status"/>
    <tableColumn id="12" xr3:uid="{00000000-0010-0000-1500-00000C000000}" name="Status"/>
    <tableColumn id="13" xr3:uid="{00000000-0010-0000-1500-00000D000000}" name="Not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DamageClaimRegisterTbl" displayName="DamageClaimRegisterTbl" ref="A1:M4">
  <tableColumns count="13">
    <tableColumn id="1" xr3:uid="{00000000-0010-0000-1600-000001000000}" name="Claim ID"/>
    <tableColumn id="2" xr3:uid="{00000000-0010-0000-1600-000002000000}" name="WO No"/>
    <tableColumn id="3" xr3:uid="{00000000-0010-0000-1600-000003000000}" name="Client Name"/>
    <tableColumn id="4" xr3:uid="{00000000-0010-0000-1600-000004000000}" name="Claim Date"/>
    <tableColumn id="5" xr3:uid="{00000000-0010-0000-1600-000005000000}" name="Item / Area"/>
    <tableColumn id="6" xr3:uid="{00000000-0010-0000-1600-000006000000}" name="Description"/>
    <tableColumn id="7" xr3:uid="{00000000-0010-0000-1600-000007000000}" name="Claim Value"/>
    <tableColumn id="8" xr3:uid="{00000000-0010-0000-1600-000008000000}" name="Existing Damage Recorded?"/>
    <tableColumn id="9" xr3:uid="{00000000-0010-0000-1600-000009000000}" name="Evidence Available"/>
    <tableColumn id="10" xr3:uid="{00000000-0010-0000-1600-00000A000000}" name="Seventh Sky Liability Position"/>
    <tableColumn id="11" xr3:uid="{00000000-0010-0000-1600-00000B000000}" name="Investigation Status"/>
    <tableColumn id="12" xr3:uid="{00000000-0010-0000-1600-00000C000000}" name="Outcome"/>
    <tableColumn id="13" xr3:uid="{00000000-0010-0000-1600-00000D000000}" name="Not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omplaintRegisterTbl" displayName="ComplaintRegisterTbl" ref="A1:L4">
  <tableColumns count="12">
    <tableColumn id="1" xr3:uid="{00000000-0010-0000-1700-000001000000}" name="Complaint ID"/>
    <tableColumn id="2" xr3:uid="{00000000-0010-0000-1700-000002000000}" name="WO No"/>
    <tableColumn id="3" xr3:uid="{00000000-0010-0000-1700-000003000000}" name="Client Name"/>
    <tableColumn id="4" xr3:uid="{00000000-0010-0000-1700-000004000000}" name="Complaint Date"/>
    <tableColumn id="5" xr3:uid="{00000000-0010-0000-1700-000005000000}" name="Complaint Category"/>
    <tableColumn id="6" xr3:uid="{00000000-0010-0000-1700-000006000000}" name="Issue Description"/>
    <tableColumn id="7" xr3:uid="{00000000-0010-0000-1700-000007000000}" name="Priority"/>
    <tableColumn id="8" xr3:uid="{00000000-0010-0000-1700-000008000000}" name="Assigned To"/>
    <tableColumn id="9" xr3:uid="{00000000-0010-0000-1700-000009000000}" name="Resolution Target"/>
    <tableColumn id="10" xr3:uid="{00000000-0010-0000-1700-00000A000000}" name="Action Taken"/>
    <tableColumn id="11" xr3:uid="{00000000-0010-0000-1700-00000B000000}" name="Status"/>
    <tableColumn id="12" xr3:uid="{00000000-0010-0000-1700-00000C000000}" name="Outcom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IncidentRegisterTbl" displayName="IncidentRegisterTbl" ref="A1:K4">
  <tableColumns count="11">
    <tableColumn id="1" xr3:uid="{00000000-0010-0000-1800-000001000000}" name="Incident ID"/>
    <tableColumn id="2" xr3:uid="{00000000-0010-0000-1800-000002000000}" name="WO No"/>
    <tableColumn id="3" xr3:uid="{00000000-0010-0000-1800-000003000000}" name="Date"/>
    <tableColumn id="4" xr3:uid="{00000000-0010-0000-1800-000004000000}" name="Incident Type"/>
    <tableColumn id="5" xr3:uid="{00000000-0010-0000-1800-000005000000}" name="Description"/>
    <tableColumn id="6" xr3:uid="{00000000-0010-0000-1800-000006000000}" name="Severity"/>
    <tableColumn id="7" xr3:uid="{00000000-0010-0000-1800-000007000000}" name="Immediate Action"/>
    <tableColumn id="8" xr3:uid="{00000000-0010-0000-1800-000008000000}" name="Reported By"/>
    <tableColumn id="9" xr3:uid="{00000000-0010-0000-1800-000009000000}" name="Corrective Action"/>
    <tableColumn id="10" xr3:uid="{00000000-0010-0000-1800-00000A000000}" name="Status"/>
    <tableColumn id="11" xr3:uid="{00000000-0010-0000-1800-00000B000000}" name="Lessons Learned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ustomerFeedbackRegistTbl" displayName="CustomerFeedbackRegistTbl" ref="A1:K4">
  <tableColumns count="11">
    <tableColumn id="1" xr3:uid="{00000000-0010-0000-1900-000001000000}" name="Feedback ID"/>
    <tableColumn id="2" xr3:uid="{00000000-0010-0000-1900-000002000000}" name="WO No"/>
    <tableColumn id="3" xr3:uid="{00000000-0010-0000-1900-000003000000}" name="Client Name"/>
    <tableColumn id="4" xr3:uid="{00000000-0010-0000-1900-000004000000}" name="Feedback Date"/>
    <tableColumn id="5" xr3:uid="{00000000-0010-0000-1900-000005000000}" name="Punctuality Rating /5"/>
    <tableColumn id="6" xr3:uid="{00000000-0010-0000-1900-000006000000}" name="Care Rating /5"/>
    <tableColumn id="7" xr3:uid="{00000000-0010-0000-1900-000007000000}" name="Communication Rating /5"/>
    <tableColumn id="8" xr3:uid="{00000000-0010-0000-1900-000008000000}" name="Overall Rating /5"/>
    <tableColumn id="9" xr3:uid="{00000000-0010-0000-1900-000009000000}" name="Would Recommend?"/>
    <tableColumn id="10" xr3:uid="{00000000-0010-0000-1900-00000A000000}" name="Comments"/>
    <tableColumn id="11" xr3:uid="{00000000-0010-0000-1900-00000B000000}" name="Follow-Up Required?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RiskRegisterTbl" displayName="RiskRegisterTbl" ref="A1:J9">
  <tableColumns count="10">
    <tableColumn id="1" xr3:uid="{00000000-0010-0000-1A00-000001000000}" name="Risk ID"/>
    <tableColumn id="2" xr3:uid="{00000000-0010-0000-1A00-000002000000}" name="Risk Category"/>
    <tableColumn id="3" xr3:uid="{00000000-0010-0000-1A00-000003000000}" name="Description"/>
    <tableColumn id="4" xr3:uid="{00000000-0010-0000-1A00-000004000000}" name="Likelihood"/>
    <tableColumn id="5" xr3:uid="{00000000-0010-0000-1A00-000005000000}" name="Impact"/>
    <tableColumn id="6" xr3:uid="{00000000-0010-0000-1A00-000006000000}" name="Risk Rating"/>
    <tableColumn id="7" xr3:uid="{00000000-0010-0000-1A00-000007000000}" name="Mitigation / Control"/>
    <tableColumn id="8" xr3:uid="{00000000-0010-0000-1A00-000008000000}" name="Owner"/>
    <tableColumn id="9" xr3:uid="{00000000-0010-0000-1A00-000009000000}" name="Review Date"/>
    <tableColumn id="10" xr3:uid="{00000000-0010-0000-1A00-00000A000000}" name="Statu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losureRegisterTbl" displayName="ClosureRegisterTbl" ref="A1:M5">
  <tableColumns count="13">
    <tableColumn id="1" xr3:uid="{00000000-0010-0000-1B00-000001000000}" name="Closure ID"/>
    <tableColumn id="2" xr3:uid="{00000000-0010-0000-1B00-000002000000}" name="WO No"/>
    <tableColumn id="3" xr3:uid="{00000000-0010-0000-1B00-000003000000}" name="Client Name"/>
    <tableColumn id="4" xr3:uid="{00000000-0010-0000-1B00-000004000000}" name="Service Completed?"/>
    <tableColumn id="5" xr3:uid="{00000000-0010-0000-1B00-000005000000}" name="Delivery Sign-Off Received?"/>
    <tableColumn id="6" xr3:uid="{00000000-0010-0000-1B00-000006000000}" name="Final Payment Received?"/>
    <tableColumn id="7" xr3:uid="{00000000-0010-0000-1B00-000007000000}" name="Delay Charges Settled?"/>
    <tableColumn id="8" xr3:uid="{00000000-0010-0000-1B00-000008000000}" name="Claims Open?"/>
    <tableColumn id="9" xr3:uid="{00000000-0010-0000-1B00-000009000000}" name="Complaint Open?"/>
    <tableColumn id="10" xr3:uid="{00000000-0010-0000-1B00-00000A000000}" name="Feedback Sent?"/>
    <tableColumn id="11" xr3:uid="{00000000-0010-0000-1B00-00000B000000}" name="Documents Archived?"/>
    <tableColumn id="12" xr3:uid="{00000000-0010-0000-1B00-00000C000000}" name="Closure Status"/>
    <tableColumn id="13" xr3:uid="{00000000-0010-0000-1B00-00000D000000}" name="Note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KPIDashboardDataTbl" displayName="KPIDashboardDataTbl" ref="A1:G15">
  <tableColumns count="7">
    <tableColumn id="1" xr3:uid="{00000000-0010-0000-1C00-000001000000}" name="KPI"/>
    <tableColumn id="2" xr3:uid="{00000000-0010-0000-1C00-000002000000}" name="Target"/>
    <tableColumn id="3" xr3:uid="{00000000-0010-0000-1C00-000003000000}" name="Current Value"/>
    <tableColumn id="4" xr3:uid="{00000000-0010-0000-1C00-000004000000}" name="Data Source"/>
    <tableColumn id="5" xr3:uid="{00000000-0010-0000-1C00-000005000000}" name="Responsible"/>
    <tableColumn id="6" xr3:uid="{00000000-0010-0000-1C00-000006000000}" name="Review Frequency"/>
    <tableColumn id="7" xr3:uid="{00000000-0010-0000-1C00-000007000000}" name="Note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CRMAutomationMappingTbl" displayName="CRMAutomationMappingTbl" ref="A1:G14">
  <tableColumns count="7">
    <tableColumn id="1" xr3:uid="{00000000-0010-0000-1D00-000001000000}" name="CRM Module"/>
    <tableColumn id="2" xr3:uid="{00000000-0010-0000-1D00-000002000000}" name="Trigger"/>
    <tableColumn id="3" xr3:uid="{00000000-0010-0000-1D00-000003000000}" name="Automated Action"/>
    <tableColumn id="4" xr3:uid="{00000000-0010-0000-1D00-000004000000}" name="Required Fields"/>
    <tableColumn id="5" xr3:uid="{00000000-0010-0000-1D00-000005000000}" name="Responsible Role"/>
    <tableColumn id="6" xr3:uid="{00000000-0010-0000-1D00-000006000000}" name="Priority"/>
    <tableColumn id="7" xr3:uid="{00000000-0010-0000-1D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sqref="A1:J1"/>
    </sheetView>
  </sheetViews>
  <sheetFormatPr defaultRowHeight="14.25"/>
  <cols>
    <col min="1" max="10" width="24" customWidth="1"/>
  </cols>
  <sheetData>
    <row r="1" spans="1:10" ht="18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3" spans="1:10" ht="15">
      <c r="A3" s="1" t="s">
        <v>1</v>
      </c>
      <c r="B3" t="s">
        <v>2</v>
      </c>
    </row>
    <row r="4" spans="1:10" ht="15">
      <c r="A4" s="1" t="s">
        <v>3</v>
      </c>
      <c r="B4" t="s">
        <v>4</v>
      </c>
    </row>
    <row r="5" spans="1:10" ht="15">
      <c r="A5" s="1" t="s">
        <v>5</v>
      </c>
      <c r="B5" t="s">
        <v>6</v>
      </c>
    </row>
    <row r="6" spans="1:10" ht="15">
      <c r="A6" s="1" t="s">
        <v>7</v>
      </c>
      <c r="B6" t="s">
        <v>8</v>
      </c>
    </row>
    <row r="7" spans="1:10" ht="15">
      <c r="A7" s="1" t="s">
        <v>9</v>
      </c>
      <c r="B7" t="s">
        <v>10</v>
      </c>
    </row>
    <row r="8" spans="1:10" ht="15">
      <c r="A8" s="1" t="s">
        <v>11</v>
      </c>
      <c r="B8" t="s">
        <v>12</v>
      </c>
    </row>
    <row r="9" spans="1:10" ht="15">
      <c r="A9" s="1" t="s">
        <v>13</v>
      </c>
      <c r="B9" t="s">
        <v>14</v>
      </c>
    </row>
    <row r="10" spans="1:10" ht="15">
      <c r="A10" s="1" t="s">
        <v>15</v>
      </c>
      <c r="B10" t="s">
        <v>16</v>
      </c>
    </row>
    <row r="11" spans="1:10" ht="15">
      <c r="A11" s="1" t="s">
        <v>17</v>
      </c>
      <c r="B11" t="s">
        <v>18</v>
      </c>
    </row>
    <row r="12" spans="1:10" ht="15">
      <c r="A12" s="1" t="s">
        <v>19</v>
      </c>
      <c r="B12" t="s">
        <v>20</v>
      </c>
    </row>
    <row r="13" spans="1:10" ht="15">
      <c r="A13" s="1"/>
    </row>
    <row r="14" spans="1:10" ht="15">
      <c r="A14" s="1" t="s">
        <v>21</v>
      </c>
      <c r="B14" t="s">
        <v>22</v>
      </c>
    </row>
    <row r="15" spans="1:10" ht="15">
      <c r="A15" s="1" t="s">
        <v>23</v>
      </c>
      <c r="B15" t="s">
        <v>24</v>
      </c>
    </row>
    <row r="16" spans="1:10" ht="15">
      <c r="A16" s="1"/>
    </row>
    <row r="17" spans="1:2" ht="30">
      <c r="A17" s="1" t="s">
        <v>25</v>
      </c>
      <c r="B17" t="s">
        <v>26</v>
      </c>
    </row>
    <row r="18" spans="1:2" ht="30">
      <c r="A18" s="1" t="s">
        <v>27</v>
      </c>
      <c r="B18" t="s">
        <v>28</v>
      </c>
    </row>
    <row r="19" spans="1:2" ht="15">
      <c r="A19" s="1"/>
    </row>
    <row r="20" spans="1:2" ht="15">
      <c r="A20" s="1" t="s">
        <v>29</v>
      </c>
      <c r="B20" t="s">
        <v>30</v>
      </c>
    </row>
    <row r="21" spans="1:2" ht="15">
      <c r="A21" s="1" t="s">
        <v>31</v>
      </c>
      <c r="B21" t="s">
        <v>32</v>
      </c>
    </row>
    <row r="22" spans="1:2" ht="15">
      <c r="A22" s="1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/>
  </sheetViews>
  <sheetFormatPr defaultRowHeight="14.25"/>
  <cols>
    <col min="1" max="3" width="18" customWidth="1"/>
    <col min="4" max="4" width="34" customWidth="1"/>
  </cols>
  <sheetData>
    <row r="1" spans="1:4" ht="15">
      <c r="A1" s="2" t="s">
        <v>33</v>
      </c>
      <c r="B1" s="2" t="s">
        <v>34</v>
      </c>
      <c r="C1" s="2" t="s">
        <v>35</v>
      </c>
      <c r="D1" s="2" t="s">
        <v>36</v>
      </c>
    </row>
    <row r="2" spans="1:4" ht="28.5">
      <c r="A2" s="3" t="s">
        <v>37</v>
      </c>
      <c r="B2" s="3" t="s">
        <v>38</v>
      </c>
      <c r="C2" s="3" t="s">
        <v>39</v>
      </c>
      <c r="D2" s="3" t="s">
        <v>40</v>
      </c>
    </row>
    <row r="3" spans="1:4" ht="28.5">
      <c r="A3" s="3" t="s">
        <v>37</v>
      </c>
      <c r="B3" s="3" t="s">
        <v>41</v>
      </c>
      <c r="C3" s="3" t="s">
        <v>39</v>
      </c>
      <c r="D3" s="3" t="s">
        <v>42</v>
      </c>
    </row>
    <row r="4" spans="1:4" ht="28.5">
      <c r="A4" s="3" t="s">
        <v>37</v>
      </c>
      <c r="B4" s="3" t="s">
        <v>43</v>
      </c>
      <c r="C4" s="3" t="s">
        <v>44</v>
      </c>
      <c r="D4" s="3" t="s">
        <v>45</v>
      </c>
    </row>
    <row r="5" spans="1:4">
      <c r="A5" s="3" t="s">
        <v>37</v>
      </c>
      <c r="B5" s="3" t="s">
        <v>46</v>
      </c>
      <c r="C5" s="3" t="s">
        <v>47</v>
      </c>
      <c r="D5" s="3" t="s">
        <v>48</v>
      </c>
    </row>
    <row r="6" spans="1:4">
      <c r="A6" s="3" t="s">
        <v>37</v>
      </c>
      <c r="B6" s="3" t="s">
        <v>49</v>
      </c>
      <c r="C6" s="3" t="s">
        <v>50</v>
      </c>
      <c r="D6" s="3" t="s">
        <v>51</v>
      </c>
    </row>
    <row r="7" spans="1:4">
      <c r="A7" s="3" t="s">
        <v>37</v>
      </c>
      <c r="B7" s="3" t="s">
        <v>52</v>
      </c>
      <c r="C7" s="3" t="s">
        <v>50</v>
      </c>
      <c r="D7" s="3" t="s">
        <v>53</v>
      </c>
    </row>
    <row r="8" spans="1:4">
      <c r="A8" s="3" t="s">
        <v>37</v>
      </c>
      <c r="B8" s="3" t="s">
        <v>54</v>
      </c>
      <c r="C8" s="3" t="s">
        <v>55</v>
      </c>
      <c r="D8" s="3" t="s">
        <v>56</v>
      </c>
    </row>
    <row r="9" spans="1:4" ht="28.5">
      <c r="A9" s="3" t="s">
        <v>37</v>
      </c>
      <c r="B9" s="3" t="s">
        <v>57</v>
      </c>
      <c r="C9" s="3" t="s">
        <v>58</v>
      </c>
      <c r="D9" s="3" t="s">
        <v>59</v>
      </c>
    </row>
    <row r="10" spans="1:4">
      <c r="A10" s="3" t="s">
        <v>37</v>
      </c>
      <c r="B10" s="3" t="s">
        <v>60</v>
      </c>
      <c r="C10" s="3" t="s">
        <v>61</v>
      </c>
      <c r="D10" s="3" t="s">
        <v>62</v>
      </c>
    </row>
    <row r="11" spans="1:4">
      <c r="A11" s="3" t="s">
        <v>37</v>
      </c>
      <c r="B11" s="3" t="s">
        <v>63</v>
      </c>
      <c r="C11" s="3" t="s">
        <v>64</v>
      </c>
      <c r="D11" s="3" t="s">
        <v>65</v>
      </c>
    </row>
    <row r="12" spans="1:4">
      <c r="A12" s="3" t="s">
        <v>66</v>
      </c>
      <c r="B12" s="3" t="s">
        <v>67</v>
      </c>
      <c r="C12" s="3" t="s">
        <v>68</v>
      </c>
      <c r="D12" s="3" t="s">
        <v>69</v>
      </c>
    </row>
    <row r="13" spans="1:4">
      <c r="A13" s="3" t="s">
        <v>66</v>
      </c>
      <c r="B13" s="3" t="s">
        <v>70</v>
      </c>
      <c r="C13" s="3" t="s">
        <v>71</v>
      </c>
      <c r="D13" s="3" t="s">
        <v>72</v>
      </c>
    </row>
    <row r="14" spans="1:4">
      <c r="A14" s="3" t="s">
        <v>66</v>
      </c>
      <c r="B14" s="3" t="s">
        <v>73</v>
      </c>
      <c r="C14" s="3" t="s">
        <v>74</v>
      </c>
      <c r="D14" s="3" t="s">
        <v>75</v>
      </c>
    </row>
    <row r="15" spans="1:4">
      <c r="A15" s="3" t="s">
        <v>66</v>
      </c>
      <c r="B15" s="3" t="s">
        <v>76</v>
      </c>
      <c r="C15" s="3" t="s">
        <v>77</v>
      </c>
      <c r="D15" s="3" t="s">
        <v>78</v>
      </c>
    </row>
    <row r="16" spans="1:4">
      <c r="A16" s="3" t="s">
        <v>66</v>
      </c>
      <c r="B16" s="3" t="s">
        <v>79</v>
      </c>
      <c r="C16" s="3" t="s">
        <v>80</v>
      </c>
      <c r="D16" s="3" t="s">
        <v>81</v>
      </c>
    </row>
    <row r="17" spans="1:4">
      <c r="A17" s="3" t="s">
        <v>66</v>
      </c>
      <c r="B17" s="3" t="s">
        <v>82</v>
      </c>
      <c r="C17" s="3" t="s">
        <v>80</v>
      </c>
      <c r="D17" s="3" t="s">
        <v>83</v>
      </c>
    </row>
    <row r="18" spans="1:4">
      <c r="A18" s="3" t="s">
        <v>84</v>
      </c>
      <c r="B18" s="3" t="s">
        <v>85</v>
      </c>
      <c r="C18" s="3" t="s">
        <v>86</v>
      </c>
      <c r="D18" s="3" t="s">
        <v>87</v>
      </c>
    </row>
    <row r="19" spans="1:4">
      <c r="A19" s="3" t="s">
        <v>84</v>
      </c>
      <c r="B19" s="3" t="s">
        <v>88</v>
      </c>
      <c r="C19" s="3" t="s">
        <v>86</v>
      </c>
      <c r="D19" s="3" t="s">
        <v>89</v>
      </c>
    </row>
    <row r="20" spans="1:4">
      <c r="A20" s="3" t="s">
        <v>84</v>
      </c>
      <c r="B20" s="3" t="s">
        <v>90</v>
      </c>
      <c r="C20" s="3" t="s">
        <v>86</v>
      </c>
      <c r="D20" s="3" t="s">
        <v>91</v>
      </c>
    </row>
    <row r="21" spans="1:4">
      <c r="A21" s="3" t="s">
        <v>92</v>
      </c>
      <c r="B21" s="3" t="s">
        <v>93</v>
      </c>
      <c r="C21" s="3" t="s">
        <v>94</v>
      </c>
      <c r="D21" s="3" t="s">
        <v>95</v>
      </c>
    </row>
    <row r="22" spans="1:4">
      <c r="A22" s="3" t="s">
        <v>92</v>
      </c>
      <c r="B22" s="3" t="s">
        <v>96</v>
      </c>
      <c r="C22" s="3" t="s">
        <v>94</v>
      </c>
      <c r="D22" s="3" t="s">
        <v>97</v>
      </c>
    </row>
    <row r="23" spans="1:4">
      <c r="A23" s="3" t="s">
        <v>92</v>
      </c>
      <c r="B23" s="3" t="s">
        <v>98</v>
      </c>
      <c r="C23" s="3" t="s">
        <v>94</v>
      </c>
      <c r="D23" s="3" t="s">
        <v>99</v>
      </c>
    </row>
    <row r="24" spans="1:4" ht="28.5">
      <c r="A24" s="3" t="s">
        <v>92</v>
      </c>
      <c r="B24" s="3" t="s">
        <v>100</v>
      </c>
      <c r="C24" s="3" t="s">
        <v>94</v>
      </c>
      <c r="D24" s="3" t="s">
        <v>101</v>
      </c>
    </row>
    <row r="25" spans="1:4">
      <c r="A25" s="3" t="s">
        <v>92</v>
      </c>
      <c r="B25" s="3" t="s">
        <v>102</v>
      </c>
      <c r="C25" s="3" t="s">
        <v>94</v>
      </c>
      <c r="D25" s="3" t="s">
        <v>103</v>
      </c>
    </row>
    <row r="26" spans="1:4">
      <c r="A26" s="3" t="s">
        <v>92</v>
      </c>
      <c r="B26" s="3" t="s">
        <v>104</v>
      </c>
      <c r="C26" s="3" t="s">
        <v>94</v>
      </c>
      <c r="D26" s="3" t="s">
        <v>105</v>
      </c>
    </row>
    <row r="27" spans="1:4" ht="28.5">
      <c r="A27" s="3" t="s">
        <v>92</v>
      </c>
      <c r="B27" s="3" t="s">
        <v>106</v>
      </c>
      <c r="C27" s="3" t="s">
        <v>94</v>
      </c>
      <c r="D27" s="3" t="s">
        <v>107</v>
      </c>
    </row>
    <row r="28" spans="1:4" ht="28.5">
      <c r="A28" s="3" t="s">
        <v>92</v>
      </c>
      <c r="B28" s="3" t="s">
        <v>108</v>
      </c>
      <c r="C28" s="3" t="s">
        <v>94</v>
      </c>
      <c r="D28" s="3" t="s">
        <v>109</v>
      </c>
    </row>
    <row r="29" spans="1:4">
      <c r="A29" s="3" t="s">
        <v>110</v>
      </c>
      <c r="B29" s="3" t="s">
        <v>111</v>
      </c>
      <c r="C29" s="3" t="s">
        <v>55</v>
      </c>
      <c r="D29" s="3" t="s">
        <v>112</v>
      </c>
    </row>
    <row r="30" spans="1:4">
      <c r="A30" s="3" t="s">
        <v>110</v>
      </c>
      <c r="B30" s="3" t="s">
        <v>113</v>
      </c>
      <c r="C30" s="3" t="s">
        <v>55</v>
      </c>
      <c r="D30" s="3" t="s">
        <v>114</v>
      </c>
    </row>
    <row r="31" spans="1:4">
      <c r="A31" s="3" t="s">
        <v>110</v>
      </c>
      <c r="B31" s="3" t="s">
        <v>115</v>
      </c>
      <c r="C31" s="3" t="s">
        <v>55</v>
      </c>
      <c r="D31" s="3" t="s">
        <v>116</v>
      </c>
    </row>
    <row r="32" spans="1:4">
      <c r="A32" s="3" t="s">
        <v>117</v>
      </c>
      <c r="B32" s="3" t="s">
        <v>118</v>
      </c>
      <c r="C32" s="3" t="s">
        <v>119</v>
      </c>
      <c r="D32" s="3" t="s">
        <v>120</v>
      </c>
    </row>
    <row r="33" spans="1:4">
      <c r="A33" s="3" t="s">
        <v>117</v>
      </c>
      <c r="B33" s="3" t="s">
        <v>121</v>
      </c>
      <c r="C33" s="3" t="s">
        <v>119</v>
      </c>
      <c r="D33" s="3" t="s">
        <v>122</v>
      </c>
    </row>
    <row r="34" spans="1:4" ht="28.5">
      <c r="A34" s="3" t="s">
        <v>117</v>
      </c>
      <c r="B34" s="3" t="s">
        <v>123</v>
      </c>
      <c r="C34" s="3" t="s">
        <v>119</v>
      </c>
      <c r="D34" s="3" t="s">
        <v>124</v>
      </c>
    </row>
    <row r="35" spans="1:4" ht="28.5">
      <c r="A35" s="3" t="s">
        <v>125</v>
      </c>
      <c r="B35" s="3" t="s">
        <v>126</v>
      </c>
      <c r="C35" s="3" t="s">
        <v>127</v>
      </c>
      <c r="D35" s="3" t="s">
        <v>128</v>
      </c>
    </row>
    <row r="36" spans="1:4" ht="28.5">
      <c r="A36" s="3" t="s">
        <v>125</v>
      </c>
      <c r="B36" s="3" t="s">
        <v>129</v>
      </c>
      <c r="C36" s="3" t="s">
        <v>127</v>
      </c>
      <c r="D36" s="3" t="s">
        <v>130</v>
      </c>
    </row>
    <row r="37" spans="1:4">
      <c r="A37" s="3" t="s">
        <v>125</v>
      </c>
      <c r="B37" s="3" t="s">
        <v>131</v>
      </c>
      <c r="C37" s="3" t="s">
        <v>132</v>
      </c>
      <c r="D37" s="3" t="s">
        <v>133</v>
      </c>
    </row>
    <row r="38" spans="1:4">
      <c r="A38" s="3" t="s">
        <v>125</v>
      </c>
      <c r="B38" s="3" t="s">
        <v>134</v>
      </c>
      <c r="C38" s="3" t="s">
        <v>132</v>
      </c>
      <c r="D38" s="3" t="s">
        <v>135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/>
  </sheetViews>
  <sheetFormatPr defaultRowHeight="14.25"/>
  <cols>
    <col min="1" max="14" width="18" customWidth="1"/>
    <col min="15" max="16" width="34" customWidth="1"/>
  </cols>
  <sheetData>
    <row r="1" spans="1:16" ht="15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92</v>
      </c>
      <c r="H1" s="2" t="s">
        <v>142</v>
      </c>
      <c r="I1" s="2" t="s">
        <v>143</v>
      </c>
      <c r="J1" s="2" t="s">
        <v>144</v>
      </c>
      <c r="K1" s="2" t="s">
        <v>145</v>
      </c>
      <c r="L1" s="2" t="s">
        <v>146</v>
      </c>
      <c r="M1" s="2" t="s">
        <v>147</v>
      </c>
      <c r="N1" s="2" t="s">
        <v>148</v>
      </c>
      <c r="O1" s="2" t="s">
        <v>149</v>
      </c>
      <c r="P1" s="2" t="s">
        <v>36</v>
      </c>
    </row>
    <row r="2" spans="1:16" ht="28.5">
      <c r="A2" s="3" t="s">
        <v>150</v>
      </c>
      <c r="B2" s="3" t="s">
        <v>151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93</v>
      </c>
      <c r="H2" s="3" t="s">
        <v>156</v>
      </c>
      <c r="I2" s="3" t="s">
        <v>157</v>
      </c>
      <c r="J2" s="3" t="s">
        <v>158</v>
      </c>
      <c r="K2" s="3" t="s">
        <v>159</v>
      </c>
      <c r="L2" s="3" t="s">
        <v>160</v>
      </c>
      <c r="M2" s="3" t="s">
        <v>46</v>
      </c>
      <c r="N2" s="3" t="s">
        <v>161</v>
      </c>
      <c r="O2" s="3" t="s">
        <v>162</v>
      </c>
      <c r="P2" s="3" t="s">
        <v>163</v>
      </c>
    </row>
    <row r="3" spans="1:16" ht="28.5">
      <c r="A3" s="3" t="s">
        <v>164</v>
      </c>
      <c r="B3" s="3" t="s">
        <v>165</v>
      </c>
      <c r="C3" s="3" t="s">
        <v>166</v>
      </c>
      <c r="D3" s="3" t="s">
        <v>167</v>
      </c>
      <c r="E3" s="3" t="s">
        <v>168</v>
      </c>
      <c r="F3" s="3" t="s">
        <v>169</v>
      </c>
      <c r="G3" s="3" t="s">
        <v>96</v>
      </c>
      <c r="H3" s="3" t="s">
        <v>170</v>
      </c>
      <c r="I3" s="3" t="s">
        <v>171</v>
      </c>
      <c r="J3" s="3" t="s">
        <v>172</v>
      </c>
      <c r="K3" s="3" t="s">
        <v>173</v>
      </c>
      <c r="L3" s="3" t="s">
        <v>174</v>
      </c>
      <c r="M3" s="3" t="s">
        <v>43</v>
      </c>
      <c r="N3" s="3" t="s">
        <v>175</v>
      </c>
      <c r="O3" s="3" t="s">
        <v>176</v>
      </c>
      <c r="P3" s="3" t="s">
        <v>177</v>
      </c>
    </row>
    <row r="4" spans="1:16" ht="28.5">
      <c r="A4" s="3" t="s">
        <v>178</v>
      </c>
      <c r="B4" s="3" t="s">
        <v>179</v>
      </c>
      <c r="C4" s="3" t="s">
        <v>180</v>
      </c>
      <c r="D4" s="3" t="s">
        <v>153</v>
      </c>
      <c r="E4" s="3" t="s">
        <v>181</v>
      </c>
      <c r="F4" s="3" t="s">
        <v>182</v>
      </c>
      <c r="G4" s="3" t="s">
        <v>104</v>
      </c>
      <c r="H4" s="3" t="s">
        <v>183</v>
      </c>
      <c r="I4" s="3" t="s">
        <v>184</v>
      </c>
      <c r="J4" s="3" t="s">
        <v>185</v>
      </c>
      <c r="K4" s="3" t="s">
        <v>186</v>
      </c>
      <c r="L4" s="3" t="s">
        <v>160</v>
      </c>
      <c r="M4" s="3" t="s">
        <v>52</v>
      </c>
      <c r="N4" s="3" t="s">
        <v>187</v>
      </c>
      <c r="O4" s="3" t="s">
        <v>188</v>
      </c>
      <c r="P4" s="3" t="s">
        <v>189</v>
      </c>
    </row>
    <row r="5" spans="1:16" ht="28.5">
      <c r="A5" s="3" t="s">
        <v>190</v>
      </c>
      <c r="B5" s="3" t="s">
        <v>161</v>
      </c>
      <c r="C5" s="3" t="s">
        <v>191</v>
      </c>
      <c r="D5" s="3" t="s">
        <v>153</v>
      </c>
      <c r="E5" s="3" t="s">
        <v>192</v>
      </c>
      <c r="F5" s="3" t="s">
        <v>193</v>
      </c>
      <c r="G5" s="3" t="s">
        <v>102</v>
      </c>
      <c r="H5" s="3" t="s">
        <v>194</v>
      </c>
      <c r="I5" s="3" t="s">
        <v>195</v>
      </c>
      <c r="J5" s="3" t="s">
        <v>196</v>
      </c>
      <c r="K5" s="3" t="s">
        <v>197</v>
      </c>
      <c r="L5" s="3" t="s">
        <v>198</v>
      </c>
      <c r="M5" s="3" t="s">
        <v>38</v>
      </c>
      <c r="N5" s="3" t="s">
        <v>175</v>
      </c>
      <c r="O5" s="3" t="s">
        <v>199</v>
      </c>
      <c r="P5" s="3" t="s">
        <v>200</v>
      </c>
    </row>
    <row r="6" spans="1:16" ht="28.5">
      <c r="A6" s="3" t="s">
        <v>201</v>
      </c>
      <c r="B6" s="3" t="s">
        <v>175</v>
      </c>
      <c r="C6" s="3" t="s">
        <v>202</v>
      </c>
      <c r="D6" s="3" t="s">
        <v>203</v>
      </c>
      <c r="E6" s="3" t="s">
        <v>204</v>
      </c>
      <c r="F6" s="3" t="s">
        <v>205</v>
      </c>
      <c r="G6" s="3" t="s">
        <v>98</v>
      </c>
      <c r="H6" s="3" t="s">
        <v>206</v>
      </c>
      <c r="I6" s="3" t="s">
        <v>207</v>
      </c>
      <c r="J6" s="3" t="s">
        <v>208</v>
      </c>
      <c r="K6" s="3" t="s">
        <v>209</v>
      </c>
      <c r="L6" s="3" t="s">
        <v>210</v>
      </c>
      <c r="M6" s="3" t="s">
        <v>41</v>
      </c>
      <c r="N6" s="3" t="s">
        <v>187</v>
      </c>
      <c r="O6" s="3" t="s">
        <v>211</v>
      </c>
      <c r="P6" s="3" t="s">
        <v>212</v>
      </c>
    </row>
    <row r="7" spans="1:16" ht="28.5">
      <c r="A7" s="3" t="s">
        <v>213</v>
      </c>
      <c r="B7" s="3" t="s">
        <v>187</v>
      </c>
      <c r="C7" s="3" t="s">
        <v>214</v>
      </c>
      <c r="D7" s="3" t="s">
        <v>153</v>
      </c>
      <c r="E7" s="3" t="s">
        <v>215</v>
      </c>
      <c r="F7" s="3" t="s">
        <v>216</v>
      </c>
      <c r="G7" s="3" t="s">
        <v>106</v>
      </c>
      <c r="H7" s="3" t="s">
        <v>217</v>
      </c>
      <c r="I7" s="3" t="s">
        <v>218</v>
      </c>
      <c r="J7" s="3" t="s">
        <v>219</v>
      </c>
      <c r="K7" s="3" t="s">
        <v>159</v>
      </c>
      <c r="L7" s="3" t="s">
        <v>160</v>
      </c>
      <c r="M7" s="3" t="s">
        <v>43</v>
      </c>
      <c r="N7" s="3" t="s">
        <v>220</v>
      </c>
      <c r="O7" s="3" t="s">
        <v>221</v>
      </c>
      <c r="P7" s="3" t="s">
        <v>222</v>
      </c>
    </row>
  </sheetData>
  <dataValidations count="1">
    <dataValidation type="list" sqref="M2:M200" xr:uid="{00000000-0002-0000-0200-000000000000}">
      <formula1>"New Lead,Contacted,Inspection Scheduled,Quotation Issued,Agreement Sent,Agreement Signed,Deposit Received,Work Order Created,Scheduled,Confirmed,Packing,Loading,In Transit,Delivery,Completed,Closed,Pending,Open,Paid,Unpaid,Partial"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25"/>
  <cols>
    <col min="1" max="7" width="18" customWidth="1"/>
    <col min="8" max="9" width="34" customWidth="1"/>
  </cols>
  <sheetData>
    <row r="1" spans="1:9" ht="30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</row>
    <row r="2" spans="1:9" ht="85.5">
      <c r="A2" s="3">
        <v>1</v>
      </c>
      <c r="B2" s="3" t="s">
        <v>232</v>
      </c>
      <c r="C2" s="3" t="s">
        <v>233</v>
      </c>
      <c r="D2" s="3" t="s">
        <v>198</v>
      </c>
      <c r="E2" s="3" t="s">
        <v>39</v>
      </c>
      <c r="F2" s="3" t="s">
        <v>234</v>
      </c>
      <c r="G2" s="3" t="s">
        <v>38</v>
      </c>
      <c r="H2" s="3" t="s">
        <v>235</v>
      </c>
      <c r="I2" s="3" t="s">
        <v>236</v>
      </c>
    </row>
    <row r="3" spans="1:9" ht="85.5">
      <c r="A3" s="3">
        <v>2</v>
      </c>
      <c r="B3" s="3" t="s">
        <v>237</v>
      </c>
      <c r="C3" s="3" t="s">
        <v>238</v>
      </c>
      <c r="D3" s="3" t="s">
        <v>160</v>
      </c>
      <c r="E3" s="3" t="s">
        <v>239</v>
      </c>
      <c r="F3" s="3" t="s">
        <v>240</v>
      </c>
      <c r="G3" s="3" t="s">
        <v>241</v>
      </c>
      <c r="H3" s="3" t="s">
        <v>242</v>
      </c>
      <c r="I3" s="3" t="s">
        <v>243</v>
      </c>
    </row>
    <row r="4" spans="1:9" ht="85.5">
      <c r="A4" s="3">
        <v>3</v>
      </c>
      <c r="B4" s="3" t="s">
        <v>244</v>
      </c>
      <c r="C4" s="3" t="s">
        <v>245</v>
      </c>
      <c r="D4" s="3" t="s">
        <v>246</v>
      </c>
      <c r="E4" s="3" t="s">
        <v>44</v>
      </c>
      <c r="F4" s="3" t="s">
        <v>247</v>
      </c>
      <c r="G4" s="3" t="s">
        <v>248</v>
      </c>
      <c r="H4" s="3" t="s">
        <v>249</v>
      </c>
      <c r="I4" s="3" t="s">
        <v>250</v>
      </c>
    </row>
    <row r="5" spans="1:9" ht="85.5">
      <c r="A5" s="3">
        <v>4</v>
      </c>
      <c r="B5" s="3" t="s">
        <v>251</v>
      </c>
      <c r="C5" s="3" t="s">
        <v>252</v>
      </c>
      <c r="D5" s="3" t="s">
        <v>253</v>
      </c>
      <c r="E5" s="3" t="s">
        <v>47</v>
      </c>
      <c r="F5" s="3" t="s">
        <v>254</v>
      </c>
      <c r="G5" s="3" t="s">
        <v>46</v>
      </c>
      <c r="H5" s="3" t="s">
        <v>255</v>
      </c>
      <c r="I5" s="3" t="s">
        <v>256</v>
      </c>
    </row>
    <row r="6" spans="1:9" ht="85.5">
      <c r="A6" s="3">
        <v>5</v>
      </c>
      <c r="B6" s="3" t="s">
        <v>257</v>
      </c>
      <c r="C6" s="3" t="s">
        <v>258</v>
      </c>
      <c r="D6" s="3" t="s">
        <v>259</v>
      </c>
      <c r="E6" s="3" t="s">
        <v>260</v>
      </c>
      <c r="F6" s="3" t="s">
        <v>261</v>
      </c>
      <c r="G6" s="3" t="s">
        <v>52</v>
      </c>
      <c r="H6" s="3" t="s">
        <v>262</v>
      </c>
      <c r="I6" s="3" t="s">
        <v>263</v>
      </c>
    </row>
    <row r="7" spans="1:9" ht="57">
      <c r="A7" s="3">
        <v>6</v>
      </c>
      <c r="B7" s="3" t="s">
        <v>264</v>
      </c>
      <c r="C7" s="3" t="s">
        <v>265</v>
      </c>
      <c r="D7" s="3" t="s">
        <v>266</v>
      </c>
      <c r="E7" s="3" t="s">
        <v>55</v>
      </c>
      <c r="F7" s="3" t="s">
        <v>267</v>
      </c>
      <c r="G7" s="3" t="s">
        <v>54</v>
      </c>
      <c r="H7" s="3" t="s">
        <v>268</v>
      </c>
      <c r="I7" s="3" t="s">
        <v>269</v>
      </c>
    </row>
    <row r="8" spans="1:9" ht="71.25">
      <c r="A8" s="3">
        <v>7</v>
      </c>
      <c r="B8" s="3" t="s">
        <v>270</v>
      </c>
      <c r="C8" s="3" t="s">
        <v>271</v>
      </c>
      <c r="D8" s="3" t="s">
        <v>174</v>
      </c>
      <c r="E8" s="3" t="s">
        <v>58</v>
      </c>
      <c r="F8" s="3" t="s">
        <v>272</v>
      </c>
      <c r="G8" s="3" t="s">
        <v>57</v>
      </c>
      <c r="H8" s="3" t="s">
        <v>273</v>
      </c>
      <c r="I8" s="3" t="s">
        <v>274</v>
      </c>
    </row>
    <row r="9" spans="1:9" ht="57">
      <c r="A9" s="3">
        <v>8</v>
      </c>
      <c r="B9" s="3" t="s">
        <v>275</v>
      </c>
      <c r="C9" s="3" t="s">
        <v>276</v>
      </c>
      <c r="D9" s="3" t="s">
        <v>210</v>
      </c>
      <c r="E9" s="3" t="s">
        <v>277</v>
      </c>
      <c r="F9" s="3" t="s">
        <v>278</v>
      </c>
      <c r="G9" s="3" t="s">
        <v>60</v>
      </c>
      <c r="H9" s="3" t="s">
        <v>279</v>
      </c>
      <c r="I9" s="3" t="s">
        <v>280</v>
      </c>
    </row>
    <row r="10" spans="1:9" ht="99.75">
      <c r="A10" s="3">
        <v>9</v>
      </c>
      <c r="B10" s="3" t="s">
        <v>281</v>
      </c>
      <c r="C10" s="3" t="s">
        <v>282</v>
      </c>
      <c r="D10" s="3" t="s">
        <v>283</v>
      </c>
      <c r="E10" s="3" t="s">
        <v>284</v>
      </c>
      <c r="F10" s="3" t="s">
        <v>285</v>
      </c>
      <c r="G10" s="3" t="s">
        <v>286</v>
      </c>
      <c r="H10" s="3" t="s">
        <v>287</v>
      </c>
      <c r="I10" s="3" t="s">
        <v>288</v>
      </c>
    </row>
    <row r="11" spans="1:9" ht="71.25">
      <c r="A11" s="3">
        <v>10</v>
      </c>
      <c r="B11" s="3" t="s">
        <v>67</v>
      </c>
      <c r="C11" s="3" t="s">
        <v>289</v>
      </c>
      <c r="D11" s="3" t="s">
        <v>290</v>
      </c>
      <c r="E11" s="3" t="s">
        <v>291</v>
      </c>
      <c r="F11" s="3" t="s">
        <v>292</v>
      </c>
      <c r="G11" s="3" t="s">
        <v>293</v>
      </c>
      <c r="H11" s="3" t="s">
        <v>294</v>
      </c>
      <c r="I11" s="3" t="s">
        <v>295</v>
      </c>
    </row>
    <row r="12" spans="1:9" ht="57">
      <c r="A12" s="3">
        <v>11</v>
      </c>
      <c r="B12" s="3" t="s">
        <v>70</v>
      </c>
      <c r="C12" s="3" t="s">
        <v>296</v>
      </c>
      <c r="D12" s="3" t="s">
        <v>297</v>
      </c>
      <c r="E12" s="3" t="s">
        <v>71</v>
      </c>
      <c r="F12" s="3" t="s">
        <v>298</v>
      </c>
      <c r="G12" s="3" t="s">
        <v>299</v>
      </c>
      <c r="H12" s="3" t="s">
        <v>300</v>
      </c>
      <c r="I12" s="3" t="s">
        <v>301</v>
      </c>
    </row>
    <row r="13" spans="1:9" ht="57">
      <c r="A13" s="3">
        <v>12</v>
      </c>
      <c r="B13" s="3" t="s">
        <v>302</v>
      </c>
      <c r="C13" s="3" t="s">
        <v>303</v>
      </c>
      <c r="D13" s="3" t="s">
        <v>304</v>
      </c>
      <c r="E13" s="3" t="s">
        <v>74</v>
      </c>
      <c r="F13" s="3" t="s">
        <v>305</v>
      </c>
      <c r="G13" s="3" t="s">
        <v>73</v>
      </c>
      <c r="H13" s="3" t="s">
        <v>306</v>
      </c>
      <c r="I13" s="3" t="s">
        <v>307</v>
      </c>
    </row>
    <row r="14" spans="1:9" ht="71.25">
      <c r="A14" s="3">
        <v>13</v>
      </c>
      <c r="B14" s="3" t="s">
        <v>308</v>
      </c>
      <c r="C14" s="3" t="s">
        <v>309</v>
      </c>
      <c r="D14" s="3" t="s">
        <v>297</v>
      </c>
      <c r="E14" s="3" t="s">
        <v>77</v>
      </c>
      <c r="F14" s="3" t="s">
        <v>310</v>
      </c>
      <c r="G14" s="3" t="s">
        <v>311</v>
      </c>
      <c r="H14" s="3" t="s">
        <v>312</v>
      </c>
      <c r="I14" s="3" t="s">
        <v>313</v>
      </c>
    </row>
    <row r="15" spans="1:9" ht="57">
      <c r="A15" s="3">
        <v>14</v>
      </c>
      <c r="B15" s="3" t="s">
        <v>314</v>
      </c>
      <c r="C15" s="3" t="s">
        <v>315</v>
      </c>
      <c r="D15" s="3" t="s">
        <v>253</v>
      </c>
      <c r="E15" s="3" t="s">
        <v>55</v>
      </c>
      <c r="F15" s="3" t="s">
        <v>267</v>
      </c>
      <c r="G15" s="3" t="s">
        <v>316</v>
      </c>
      <c r="H15" s="3" t="s">
        <v>317</v>
      </c>
      <c r="I15" s="3" t="s">
        <v>318</v>
      </c>
    </row>
    <row r="16" spans="1:9" ht="71.25">
      <c r="A16" s="3">
        <v>15</v>
      </c>
      <c r="B16" s="3" t="s">
        <v>319</v>
      </c>
      <c r="C16" s="3" t="s">
        <v>320</v>
      </c>
      <c r="D16" s="3" t="s">
        <v>283</v>
      </c>
      <c r="E16" s="3" t="s">
        <v>321</v>
      </c>
      <c r="F16" s="3" t="s">
        <v>322</v>
      </c>
      <c r="G16" s="3" t="s">
        <v>82</v>
      </c>
      <c r="H16" s="3" t="s">
        <v>323</v>
      </c>
      <c r="I16" s="3" t="s">
        <v>324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"/>
  <sheetViews>
    <sheetView workbookViewId="0"/>
  </sheetViews>
  <sheetFormatPr defaultRowHeight="14.25"/>
  <cols>
    <col min="1" max="14" width="18" customWidth="1"/>
    <col min="15" max="15" width="34" customWidth="1"/>
    <col min="16" max="16" width="18" customWidth="1"/>
    <col min="17" max="17" width="34" customWidth="1"/>
  </cols>
  <sheetData>
    <row r="1" spans="1:17" ht="30">
      <c r="A1" s="2" t="s">
        <v>325</v>
      </c>
      <c r="B1" s="2" t="s">
        <v>136</v>
      </c>
      <c r="C1" s="2" t="s">
        <v>138</v>
      </c>
      <c r="D1" s="2" t="s">
        <v>92</v>
      </c>
      <c r="E1" s="2" t="s">
        <v>326</v>
      </c>
      <c r="F1" s="2" t="s">
        <v>327</v>
      </c>
      <c r="G1" s="2" t="s">
        <v>328</v>
      </c>
      <c r="H1" s="2" t="s">
        <v>329</v>
      </c>
      <c r="I1" s="2" t="s">
        <v>330</v>
      </c>
      <c r="J1" s="2" t="s">
        <v>331</v>
      </c>
      <c r="K1" s="2" t="s">
        <v>332</v>
      </c>
      <c r="L1" s="2" t="s">
        <v>333</v>
      </c>
      <c r="M1" s="2" t="s">
        <v>334</v>
      </c>
      <c r="N1" s="2" t="s">
        <v>335</v>
      </c>
      <c r="O1" s="2" t="s">
        <v>336</v>
      </c>
      <c r="P1" s="2" t="s">
        <v>337</v>
      </c>
      <c r="Q1" s="2" t="s">
        <v>36</v>
      </c>
    </row>
    <row r="2" spans="1:17" ht="28.5">
      <c r="A2" s="3" t="s">
        <v>338</v>
      </c>
      <c r="B2" s="3" t="s">
        <v>150</v>
      </c>
      <c r="C2" s="3" t="s">
        <v>152</v>
      </c>
      <c r="D2" s="3" t="s">
        <v>93</v>
      </c>
      <c r="E2" s="3" t="s">
        <v>339</v>
      </c>
      <c r="F2" s="3" t="s">
        <v>340</v>
      </c>
      <c r="G2" s="3" t="s">
        <v>341</v>
      </c>
      <c r="H2" s="3" t="s">
        <v>342</v>
      </c>
      <c r="I2" s="3" t="s">
        <v>343</v>
      </c>
      <c r="J2" s="3" t="s">
        <v>344</v>
      </c>
      <c r="K2" s="3" t="s">
        <v>113</v>
      </c>
      <c r="L2" s="3" t="s">
        <v>345</v>
      </c>
      <c r="M2" s="3" t="s">
        <v>345</v>
      </c>
      <c r="N2" s="3" t="s">
        <v>85</v>
      </c>
      <c r="O2" s="3" t="s">
        <v>346</v>
      </c>
      <c r="P2" s="3" t="s">
        <v>347</v>
      </c>
      <c r="Q2" s="3" t="s">
        <v>348</v>
      </c>
    </row>
    <row r="3" spans="1:17" ht="28.5">
      <c r="A3" s="3" t="s">
        <v>349</v>
      </c>
      <c r="B3" s="3" t="s">
        <v>164</v>
      </c>
      <c r="C3" s="3" t="s">
        <v>166</v>
      </c>
      <c r="D3" s="3" t="s">
        <v>96</v>
      </c>
      <c r="E3" s="3" t="s">
        <v>350</v>
      </c>
      <c r="F3" s="3" t="s">
        <v>351</v>
      </c>
      <c r="G3" s="3" t="s">
        <v>352</v>
      </c>
      <c r="H3" s="3" t="s">
        <v>353</v>
      </c>
      <c r="I3" s="3" t="s">
        <v>354</v>
      </c>
      <c r="J3" s="3" t="s">
        <v>344</v>
      </c>
      <c r="K3" s="3" t="s">
        <v>344</v>
      </c>
      <c r="L3" s="3" t="s">
        <v>345</v>
      </c>
      <c r="M3" s="3" t="s">
        <v>355</v>
      </c>
      <c r="N3" s="3" t="s">
        <v>88</v>
      </c>
      <c r="O3" s="3" t="s">
        <v>356</v>
      </c>
      <c r="P3" s="3" t="s">
        <v>357</v>
      </c>
      <c r="Q3" s="3" t="s">
        <v>358</v>
      </c>
    </row>
    <row r="4" spans="1:17" ht="28.5">
      <c r="A4" s="3" t="s">
        <v>359</v>
      </c>
      <c r="B4" s="3" t="s">
        <v>178</v>
      </c>
      <c r="C4" s="3" t="s">
        <v>180</v>
      </c>
      <c r="D4" s="3" t="s">
        <v>104</v>
      </c>
      <c r="E4" s="3" t="s">
        <v>360</v>
      </c>
      <c r="F4" s="3" t="s">
        <v>184</v>
      </c>
      <c r="G4" s="3" t="s">
        <v>361</v>
      </c>
      <c r="H4" s="3" t="s">
        <v>362</v>
      </c>
      <c r="I4" s="3" t="s">
        <v>363</v>
      </c>
      <c r="J4" s="3" t="s">
        <v>345</v>
      </c>
      <c r="K4" s="3" t="s">
        <v>345</v>
      </c>
      <c r="L4" s="3" t="s">
        <v>344</v>
      </c>
      <c r="M4" s="3" t="s">
        <v>364</v>
      </c>
      <c r="N4" s="3" t="s">
        <v>88</v>
      </c>
      <c r="O4" s="3" t="s">
        <v>365</v>
      </c>
      <c r="P4" s="3" t="s">
        <v>366</v>
      </c>
      <c r="Q4" s="3" t="s">
        <v>367</v>
      </c>
    </row>
    <row r="5" spans="1:17" ht="28.5">
      <c r="A5" s="3" t="s">
        <v>368</v>
      </c>
      <c r="B5" s="3" t="s">
        <v>190</v>
      </c>
      <c r="C5" s="3" t="s">
        <v>191</v>
      </c>
      <c r="D5" s="3" t="s">
        <v>102</v>
      </c>
      <c r="E5" s="3" t="s">
        <v>369</v>
      </c>
      <c r="F5" s="3" t="s">
        <v>369</v>
      </c>
      <c r="G5" s="3" t="s">
        <v>370</v>
      </c>
      <c r="H5" s="3" t="s">
        <v>371</v>
      </c>
      <c r="I5" s="3" t="s">
        <v>372</v>
      </c>
      <c r="J5" s="3" t="s">
        <v>345</v>
      </c>
      <c r="K5" s="3" t="s">
        <v>344</v>
      </c>
      <c r="L5" s="3" t="s">
        <v>345</v>
      </c>
      <c r="M5" s="3" t="s">
        <v>373</v>
      </c>
      <c r="N5" s="3" t="s">
        <v>85</v>
      </c>
      <c r="O5" s="3" t="s">
        <v>365</v>
      </c>
      <c r="P5" s="3" t="s">
        <v>374</v>
      </c>
      <c r="Q5" s="3"/>
    </row>
    <row r="6" spans="1:17" ht="28.5">
      <c r="A6" s="3" t="s">
        <v>375</v>
      </c>
      <c r="B6" s="3" t="s">
        <v>201</v>
      </c>
      <c r="C6" s="3" t="s">
        <v>202</v>
      </c>
      <c r="D6" s="3" t="s">
        <v>98</v>
      </c>
      <c r="E6" s="3" t="s">
        <v>376</v>
      </c>
      <c r="F6" s="3" t="s">
        <v>377</v>
      </c>
      <c r="G6" s="3" t="s">
        <v>378</v>
      </c>
      <c r="H6" s="3" t="s">
        <v>379</v>
      </c>
      <c r="I6" s="3" t="s">
        <v>380</v>
      </c>
      <c r="J6" s="3" t="s">
        <v>344</v>
      </c>
      <c r="K6" s="3" t="s">
        <v>344</v>
      </c>
      <c r="L6" s="3" t="s">
        <v>381</v>
      </c>
      <c r="M6" s="3" t="s">
        <v>382</v>
      </c>
      <c r="N6" s="3" t="s">
        <v>88</v>
      </c>
      <c r="O6" s="3" t="s">
        <v>356</v>
      </c>
      <c r="P6" s="3" t="s">
        <v>383</v>
      </c>
      <c r="Q6" s="3" t="s">
        <v>384</v>
      </c>
    </row>
    <row r="7" spans="1:17" ht="28.5">
      <c r="A7" s="3" t="s">
        <v>385</v>
      </c>
      <c r="B7" s="3" t="s">
        <v>213</v>
      </c>
      <c r="C7" s="3" t="s">
        <v>214</v>
      </c>
      <c r="D7" s="3" t="s">
        <v>106</v>
      </c>
      <c r="E7" s="3" t="s">
        <v>369</v>
      </c>
      <c r="F7" s="3" t="s">
        <v>386</v>
      </c>
      <c r="G7" s="3" t="s">
        <v>387</v>
      </c>
      <c r="H7" s="3" t="s">
        <v>388</v>
      </c>
      <c r="I7" s="3" t="s">
        <v>389</v>
      </c>
      <c r="J7" s="3" t="s">
        <v>345</v>
      </c>
      <c r="K7" s="3" t="s">
        <v>345</v>
      </c>
      <c r="L7" s="3" t="s">
        <v>344</v>
      </c>
      <c r="M7" s="3" t="s">
        <v>345</v>
      </c>
      <c r="N7" s="3" t="s">
        <v>85</v>
      </c>
      <c r="O7" s="3" t="s">
        <v>346</v>
      </c>
      <c r="P7" s="3" t="s">
        <v>390</v>
      </c>
      <c r="Q7" s="3" t="s">
        <v>391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"/>
  <sheetViews>
    <sheetView workbookViewId="0"/>
  </sheetViews>
  <sheetFormatPr defaultRowHeight="14.25"/>
  <cols>
    <col min="1" max="15" width="18" customWidth="1"/>
    <col min="16" max="16" width="34" customWidth="1"/>
  </cols>
  <sheetData>
    <row r="1" spans="1:16" ht="30">
      <c r="A1" s="2" t="s">
        <v>392</v>
      </c>
      <c r="B1" s="2" t="s">
        <v>136</v>
      </c>
      <c r="C1" s="2" t="s">
        <v>138</v>
      </c>
      <c r="D1" s="2" t="s">
        <v>393</v>
      </c>
      <c r="E1" s="2" t="s">
        <v>394</v>
      </c>
      <c r="F1" s="2" t="s">
        <v>395</v>
      </c>
      <c r="G1" s="2" t="s">
        <v>396</v>
      </c>
      <c r="H1" s="2" t="s">
        <v>397</v>
      </c>
      <c r="I1" s="2" t="s">
        <v>398</v>
      </c>
      <c r="J1" s="2" t="s">
        <v>399</v>
      </c>
      <c r="K1" s="2" t="s">
        <v>400</v>
      </c>
      <c r="L1" s="2" t="s">
        <v>329</v>
      </c>
      <c r="M1" s="2" t="s">
        <v>401</v>
      </c>
      <c r="N1" s="2" t="s">
        <v>402</v>
      </c>
      <c r="O1" s="2" t="s">
        <v>403</v>
      </c>
      <c r="P1" s="2" t="s">
        <v>404</v>
      </c>
    </row>
    <row r="2" spans="1:16" ht="28.5">
      <c r="A2" s="3" t="s">
        <v>405</v>
      </c>
      <c r="B2" s="3" t="s">
        <v>150</v>
      </c>
      <c r="C2" s="3" t="s">
        <v>152</v>
      </c>
      <c r="D2" s="3" t="s">
        <v>179</v>
      </c>
      <c r="E2" s="3" t="s">
        <v>406</v>
      </c>
      <c r="F2" s="3" t="s">
        <v>407</v>
      </c>
      <c r="G2" s="3" t="s">
        <v>408</v>
      </c>
      <c r="H2" s="3" t="s">
        <v>409</v>
      </c>
      <c r="I2" s="3" t="s">
        <v>344</v>
      </c>
      <c r="J2" s="3" t="s">
        <v>410</v>
      </c>
      <c r="K2" s="3">
        <v>30</v>
      </c>
      <c r="L2" s="3" t="s">
        <v>342</v>
      </c>
      <c r="M2" s="3" t="s">
        <v>411</v>
      </c>
      <c r="N2" s="3" t="s">
        <v>344</v>
      </c>
      <c r="O2" s="3" t="s">
        <v>412</v>
      </c>
      <c r="P2" s="3" t="s">
        <v>413</v>
      </c>
    </row>
    <row r="3" spans="1:16" ht="28.5">
      <c r="A3" s="3" t="s">
        <v>414</v>
      </c>
      <c r="B3" s="3" t="s">
        <v>164</v>
      </c>
      <c r="C3" s="3" t="s">
        <v>166</v>
      </c>
      <c r="D3" s="3" t="s">
        <v>175</v>
      </c>
      <c r="E3" s="3" t="s">
        <v>406</v>
      </c>
      <c r="F3" s="3" t="s">
        <v>415</v>
      </c>
      <c r="G3" s="3" t="s">
        <v>407</v>
      </c>
      <c r="H3" s="3" t="s">
        <v>344</v>
      </c>
      <c r="I3" s="3" t="s">
        <v>416</v>
      </c>
      <c r="J3" s="3" t="s">
        <v>417</v>
      </c>
      <c r="K3" s="3">
        <v>50</v>
      </c>
      <c r="L3" s="3" t="s">
        <v>418</v>
      </c>
      <c r="M3" s="3" t="s">
        <v>354</v>
      </c>
      <c r="N3" s="3" t="s">
        <v>344</v>
      </c>
      <c r="O3" s="3" t="s">
        <v>419</v>
      </c>
      <c r="P3" s="3" t="s">
        <v>420</v>
      </c>
    </row>
    <row r="4" spans="1:16">
      <c r="A4" s="3" t="s">
        <v>421</v>
      </c>
      <c r="B4" s="3" t="s">
        <v>178</v>
      </c>
      <c r="C4" s="3" t="s">
        <v>180</v>
      </c>
      <c r="D4" s="3" t="s">
        <v>161</v>
      </c>
      <c r="E4" s="3" t="s">
        <v>422</v>
      </c>
      <c r="F4" s="3" t="s">
        <v>423</v>
      </c>
      <c r="G4" s="3" t="s">
        <v>184</v>
      </c>
      <c r="H4" s="3" t="s">
        <v>344</v>
      </c>
      <c r="I4" s="3" t="s">
        <v>344</v>
      </c>
      <c r="J4" s="3" t="s">
        <v>344</v>
      </c>
      <c r="K4" s="3">
        <v>12</v>
      </c>
      <c r="L4" s="3" t="s">
        <v>362</v>
      </c>
      <c r="M4" s="3" t="s">
        <v>363</v>
      </c>
      <c r="N4" s="3" t="s">
        <v>344</v>
      </c>
      <c r="O4" s="3" t="s">
        <v>424</v>
      </c>
      <c r="P4" s="3" t="s">
        <v>425</v>
      </c>
    </row>
    <row r="5" spans="1:16">
      <c r="A5" s="3" t="s">
        <v>426</v>
      </c>
      <c r="B5" s="3" t="s">
        <v>190</v>
      </c>
      <c r="C5" s="3" t="s">
        <v>191</v>
      </c>
      <c r="D5" s="3" t="s">
        <v>187</v>
      </c>
      <c r="E5" s="3" t="s">
        <v>427</v>
      </c>
      <c r="F5" s="3" t="s">
        <v>428</v>
      </c>
      <c r="G5" s="3" t="s">
        <v>428</v>
      </c>
      <c r="H5" s="3" t="s">
        <v>184</v>
      </c>
      <c r="I5" s="3" t="s">
        <v>344</v>
      </c>
      <c r="J5" s="3" t="s">
        <v>344</v>
      </c>
      <c r="K5" s="3">
        <v>8</v>
      </c>
      <c r="L5" s="3" t="s">
        <v>371</v>
      </c>
      <c r="M5" s="3" t="s">
        <v>372</v>
      </c>
      <c r="N5" s="3" t="s">
        <v>345</v>
      </c>
      <c r="O5" s="3" t="s">
        <v>429</v>
      </c>
      <c r="P5" s="3" t="s">
        <v>430</v>
      </c>
    </row>
    <row r="6" spans="1:16">
      <c r="A6" s="3" t="s">
        <v>431</v>
      </c>
      <c r="B6" s="3" t="s">
        <v>201</v>
      </c>
      <c r="C6" s="3" t="s">
        <v>202</v>
      </c>
      <c r="D6" s="3" t="s">
        <v>220</v>
      </c>
      <c r="E6" s="3" t="s">
        <v>406</v>
      </c>
      <c r="F6" s="3" t="s">
        <v>428</v>
      </c>
      <c r="G6" s="3" t="s">
        <v>432</v>
      </c>
      <c r="H6" s="3" t="s">
        <v>433</v>
      </c>
      <c r="I6" s="3" t="s">
        <v>416</v>
      </c>
      <c r="J6" s="3" t="s">
        <v>434</v>
      </c>
      <c r="K6" s="3">
        <v>45</v>
      </c>
      <c r="L6" s="3" t="s">
        <v>379</v>
      </c>
      <c r="M6" s="3" t="s">
        <v>380</v>
      </c>
      <c r="N6" s="3" t="s">
        <v>344</v>
      </c>
      <c r="O6" s="3" t="s">
        <v>429</v>
      </c>
      <c r="P6" s="3" t="s">
        <v>435</v>
      </c>
    </row>
    <row r="7" spans="1:16">
      <c r="A7" s="3" t="s">
        <v>436</v>
      </c>
      <c r="B7" s="3" t="s">
        <v>213</v>
      </c>
      <c r="C7" s="3" t="s">
        <v>214</v>
      </c>
      <c r="D7" s="3" t="s">
        <v>220</v>
      </c>
      <c r="E7" s="3" t="s">
        <v>406</v>
      </c>
      <c r="F7" s="3" t="s">
        <v>428</v>
      </c>
      <c r="G7" s="3" t="s">
        <v>184</v>
      </c>
      <c r="H7" s="3" t="s">
        <v>184</v>
      </c>
      <c r="I7" s="3" t="s">
        <v>344</v>
      </c>
      <c r="J7" s="3" t="s">
        <v>344</v>
      </c>
      <c r="K7" s="3">
        <v>18</v>
      </c>
      <c r="L7" s="3" t="s">
        <v>388</v>
      </c>
      <c r="M7" s="3" t="s">
        <v>437</v>
      </c>
      <c r="N7" s="3" t="s">
        <v>344</v>
      </c>
      <c r="O7" s="3" t="s">
        <v>412</v>
      </c>
      <c r="P7" s="3" t="s">
        <v>438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defaultRowHeight="14.25"/>
  <cols>
    <col min="1" max="12" width="18" customWidth="1"/>
    <col min="13" max="13" width="34" customWidth="1"/>
  </cols>
  <sheetData>
    <row r="1" spans="1:13" ht="60">
      <c r="A1" s="2" t="s">
        <v>439</v>
      </c>
      <c r="B1" s="2" t="s">
        <v>136</v>
      </c>
      <c r="C1" s="2" t="s">
        <v>138</v>
      </c>
      <c r="D1" s="2" t="s">
        <v>440</v>
      </c>
      <c r="E1" s="2" t="s">
        <v>441</v>
      </c>
      <c r="F1" s="2" t="s">
        <v>442</v>
      </c>
      <c r="G1" s="2" t="s">
        <v>443</v>
      </c>
      <c r="H1" s="2" t="s">
        <v>444</v>
      </c>
      <c r="I1" s="2" t="s">
        <v>445</v>
      </c>
      <c r="J1" s="2" t="s">
        <v>446</v>
      </c>
      <c r="K1" s="2" t="s">
        <v>447</v>
      </c>
      <c r="L1" s="2" t="s">
        <v>125</v>
      </c>
      <c r="M1" s="2" t="s">
        <v>36</v>
      </c>
    </row>
    <row r="2" spans="1:13" ht="28.5">
      <c r="A2" s="3" t="s">
        <v>448</v>
      </c>
      <c r="B2" s="3" t="s">
        <v>150</v>
      </c>
      <c r="C2" s="3" t="s">
        <v>152</v>
      </c>
      <c r="D2" s="3" t="s">
        <v>161</v>
      </c>
      <c r="E2" s="3" t="s">
        <v>344</v>
      </c>
      <c r="F2" s="3" t="s">
        <v>344</v>
      </c>
      <c r="G2" s="3" t="s">
        <v>344</v>
      </c>
      <c r="H2" s="3" t="s">
        <v>344</v>
      </c>
      <c r="I2" s="3" t="s">
        <v>344</v>
      </c>
      <c r="J2" s="3" t="s">
        <v>126</v>
      </c>
      <c r="K2" s="3" t="s">
        <v>160</v>
      </c>
      <c r="L2" s="3" t="s">
        <v>126</v>
      </c>
      <c r="M2" s="3" t="s">
        <v>449</v>
      </c>
    </row>
    <row r="3" spans="1:13">
      <c r="A3" s="3" t="s">
        <v>450</v>
      </c>
      <c r="B3" s="3" t="s">
        <v>164</v>
      </c>
      <c r="C3" s="3" t="s">
        <v>166</v>
      </c>
      <c r="D3" s="3" t="s">
        <v>187</v>
      </c>
      <c r="E3" s="3" t="s">
        <v>344</v>
      </c>
      <c r="F3" s="3" t="s">
        <v>344</v>
      </c>
      <c r="G3" s="3" t="s">
        <v>344</v>
      </c>
      <c r="H3" s="3" t="s">
        <v>344</v>
      </c>
      <c r="I3" s="3" t="s">
        <v>344</v>
      </c>
      <c r="J3" s="3" t="s">
        <v>126</v>
      </c>
      <c r="K3" s="3" t="s">
        <v>174</v>
      </c>
      <c r="L3" s="3" t="s">
        <v>126</v>
      </c>
      <c r="M3" s="3" t="s">
        <v>451</v>
      </c>
    </row>
    <row r="4" spans="1:13" ht="28.5">
      <c r="A4" s="3" t="s">
        <v>452</v>
      </c>
      <c r="B4" s="3" t="s">
        <v>178</v>
      </c>
      <c r="C4" s="3" t="s">
        <v>180</v>
      </c>
      <c r="D4" s="3" t="s">
        <v>175</v>
      </c>
      <c r="E4" s="3" t="s">
        <v>344</v>
      </c>
      <c r="F4" s="3" t="s">
        <v>344</v>
      </c>
      <c r="G4" s="3" t="s">
        <v>344</v>
      </c>
      <c r="H4" s="3" t="s">
        <v>344</v>
      </c>
      <c r="I4" s="3" t="s">
        <v>344</v>
      </c>
      <c r="J4" s="3" t="s">
        <v>453</v>
      </c>
      <c r="K4" s="3" t="s">
        <v>160</v>
      </c>
      <c r="L4" s="3" t="s">
        <v>129</v>
      </c>
      <c r="M4" s="3"/>
    </row>
    <row r="5" spans="1:13" ht="28.5">
      <c r="A5" s="3" t="s">
        <v>454</v>
      </c>
      <c r="B5" s="3" t="s">
        <v>190</v>
      </c>
      <c r="C5" s="3" t="s">
        <v>191</v>
      </c>
      <c r="D5" s="3"/>
      <c r="E5" s="3" t="s">
        <v>126</v>
      </c>
      <c r="F5" s="3" t="s">
        <v>344</v>
      </c>
      <c r="G5" s="3" t="s">
        <v>344</v>
      </c>
      <c r="H5" s="3" t="s">
        <v>344</v>
      </c>
      <c r="I5" s="3" t="s">
        <v>344</v>
      </c>
      <c r="J5" s="3" t="s">
        <v>455</v>
      </c>
      <c r="K5" s="3" t="s">
        <v>198</v>
      </c>
      <c r="L5" s="3" t="s">
        <v>126</v>
      </c>
      <c r="M5" s="3"/>
    </row>
    <row r="6" spans="1:13">
      <c r="A6" s="3" t="s">
        <v>456</v>
      </c>
      <c r="B6" s="3" t="s">
        <v>201</v>
      </c>
      <c r="C6" s="3" t="s">
        <v>202</v>
      </c>
      <c r="D6" s="3"/>
      <c r="E6" s="3" t="s">
        <v>126</v>
      </c>
      <c r="F6" s="3" t="s">
        <v>344</v>
      </c>
      <c r="G6" s="3" t="s">
        <v>344</v>
      </c>
      <c r="H6" s="3" t="s">
        <v>344</v>
      </c>
      <c r="I6" s="3" t="s">
        <v>344</v>
      </c>
      <c r="J6" s="3" t="s">
        <v>455</v>
      </c>
      <c r="K6" s="3" t="s">
        <v>210</v>
      </c>
      <c r="L6" s="3" t="s">
        <v>126</v>
      </c>
      <c r="M6" s="3" t="s">
        <v>457</v>
      </c>
    </row>
    <row r="7" spans="1:13" ht="28.5">
      <c r="A7" s="3" t="s">
        <v>458</v>
      </c>
      <c r="B7" s="3" t="s">
        <v>213</v>
      </c>
      <c r="C7" s="3" t="s">
        <v>214</v>
      </c>
      <c r="D7" s="3" t="s">
        <v>459</v>
      </c>
      <c r="E7" s="3" t="s">
        <v>344</v>
      </c>
      <c r="F7" s="3" t="s">
        <v>344</v>
      </c>
      <c r="G7" s="3" t="s">
        <v>344</v>
      </c>
      <c r="H7" s="3" t="s">
        <v>344</v>
      </c>
      <c r="I7" s="3" t="s">
        <v>344</v>
      </c>
      <c r="J7" s="3" t="s">
        <v>453</v>
      </c>
      <c r="K7" s="3" t="s">
        <v>160</v>
      </c>
      <c r="L7" s="3" t="s">
        <v>129</v>
      </c>
      <c r="M7" s="3" t="s">
        <v>460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1"/>
  <sheetViews>
    <sheetView workbookViewId="0"/>
  </sheetViews>
  <sheetFormatPr defaultRowHeight="14.25"/>
  <cols>
    <col min="1" max="4" width="18" customWidth="1"/>
    <col min="5" max="5" width="34" customWidth="1"/>
    <col min="6" max="16" width="18" customWidth="1"/>
    <col min="17" max="17" width="34" customWidth="1"/>
  </cols>
  <sheetData>
    <row r="1" spans="1:17" ht="30">
      <c r="A1" s="2" t="s">
        <v>461</v>
      </c>
      <c r="B1" s="2" t="s">
        <v>136</v>
      </c>
      <c r="C1" s="2" t="s">
        <v>138</v>
      </c>
      <c r="D1" s="2" t="s">
        <v>462</v>
      </c>
      <c r="E1" s="2" t="s">
        <v>463</v>
      </c>
      <c r="F1" s="2" t="s">
        <v>464</v>
      </c>
      <c r="G1" s="2" t="s">
        <v>465</v>
      </c>
      <c r="H1" s="2" t="s">
        <v>466</v>
      </c>
      <c r="I1" s="2" t="s">
        <v>467</v>
      </c>
      <c r="J1" s="2" t="s">
        <v>468</v>
      </c>
      <c r="K1" s="2" t="s">
        <v>469</v>
      </c>
      <c r="L1" s="2" t="s">
        <v>470</v>
      </c>
      <c r="M1" s="2" t="s">
        <v>471</v>
      </c>
      <c r="N1" s="2" t="s">
        <v>472</v>
      </c>
      <c r="O1" s="2" t="s">
        <v>473</v>
      </c>
      <c r="P1" s="2" t="s">
        <v>474</v>
      </c>
      <c r="Q1" s="2" t="s">
        <v>36</v>
      </c>
    </row>
    <row r="2" spans="1:17">
      <c r="A2" s="3" t="s">
        <v>475</v>
      </c>
      <c r="B2" s="3" t="s">
        <v>150</v>
      </c>
      <c r="C2" s="3" t="s">
        <v>152</v>
      </c>
      <c r="D2" s="3" t="s">
        <v>476</v>
      </c>
      <c r="E2" s="3" t="s">
        <v>477</v>
      </c>
      <c r="F2" s="3">
        <v>1</v>
      </c>
      <c r="G2" s="3" t="s">
        <v>478</v>
      </c>
      <c r="H2" s="3" t="s">
        <v>345</v>
      </c>
      <c r="I2" s="3" t="s">
        <v>344</v>
      </c>
      <c r="J2" s="3" t="s">
        <v>345</v>
      </c>
      <c r="K2" s="3" t="s">
        <v>345</v>
      </c>
      <c r="L2" s="3" t="s">
        <v>479</v>
      </c>
      <c r="M2" s="3" t="s">
        <v>480</v>
      </c>
      <c r="N2" s="3" t="s">
        <v>344</v>
      </c>
      <c r="O2" s="3" t="s">
        <v>126</v>
      </c>
      <c r="P2" s="3"/>
      <c r="Q2" s="3"/>
    </row>
    <row r="3" spans="1:17">
      <c r="A3" s="3" t="s">
        <v>481</v>
      </c>
      <c r="B3" s="3" t="s">
        <v>150</v>
      </c>
      <c r="C3" s="3" t="s">
        <v>152</v>
      </c>
      <c r="D3" s="3" t="s">
        <v>482</v>
      </c>
      <c r="E3" s="3" t="s">
        <v>483</v>
      </c>
      <c r="F3" s="3">
        <v>1</v>
      </c>
      <c r="G3" s="3" t="s">
        <v>478</v>
      </c>
      <c r="H3" s="3" t="s">
        <v>484</v>
      </c>
      <c r="I3" s="3" t="s">
        <v>344</v>
      </c>
      <c r="J3" s="3" t="s">
        <v>345</v>
      </c>
      <c r="K3" s="3" t="s">
        <v>344</v>
      </c>
      <c r="L3" s="3" t="s">
        <v>479</v>
      </c>
      <c r="M3" s="3" t="s">
        <v>485</v>
      </c>
      <c r="N3" s="3" t="s">
        <v>344</v>
      </c>
      <c r="O3" s="3" t="s">
        <v>126</v>
      </c>
      <c r="P3" s="3"/>
      <c r="Q3" s="3" t="s">
        <v>486</v>
      </c>
    </row>
    <row r="4" spans="1:17">
      <c r="A4" s="3" t="s">
        <v>487</v>
      </c>
      <c r="B4" s="3" t="s">
        <v>150</v>
      </c>
      <c r="C4" s="3" t="s">
        <v>152</v>
      </c>
      <c r="D4" s="3" t="s">
        <v>488</v>
      </c>
      <c r="E4" s="3" t="s">
        <v>489</v>
      </c>
      <c r="F4" s="3">
        <v>2</v>
      </c>
      <c r="G4" s="3" t="s">
        <v>490</v>
      </c>
      <c r="H4" s="3" t="s">
        <v>345</v>
      </c>
      <c r="I4" s="3" t="s">
        <v>344</v>
      </c>
      <c r="J4" s="3" t="s">
        <v>344</v>
      </c>
      <c r="K4" s="3" t="s">
        <v>344</v>
      </c>
      <c r="L4" s="3" t="s">
        <v>479</v>
      </c>
      <c r="M4" s="3" t="s">
        <v>491</v>
      </c>
      <c r="N4" s="3" t="s">
        <v>344</v>
      </c>
      <c r="O4" s="3" t="s">
        <v>126</v>
      </c>
      <c r="P4" s="3"/>
      <c r="Q4" s="3" t="s">
        <v>492</v>
      </c>
    </row>
    <row r="5" spans="1:17">
      <c r="A5" s="3" t="s">
        <v>493</v>
      </c>
      <c r="B5" s="3" t="s">
        <v>150</v>
      </c>
      <c r="C5" s="3" t="s">
        <v>152</v>
      </c>
      <c r="D5" s="3" t="s">
        <v>476</v>
      </c>
      <c r="E5" s="3" t="s">
        <v>494</v>
      </c>
      <c r="F5" s="3">
        <v>1</v>
      </c>
      <c r="G5" s="3" t="s">
        <v>478</v>
      </c>
      <c r="H5" s="3" t="s">
        <v>345</v>
      </c>
      <c r="I5" s="3" t="s">
        <v>344</v>
      </c>
      <c r="J5" s="3" t="s">
        <v>344</v>
      </c>
      <c r="K5" s="3" t="s">
        <v>344</v>
      </c>
      <c r="L5" s="3" t="s">
        <v>479</v>
      </c>
      <c r="M5" s="3" t="s">
        <v>495</v>
      </c>
      <c r="N5" s="3" t="s">
        <v>344</v>
      </c>
      <c r="O5" s="3" t="s">
        <v>126</v>
      </c>
      <c r="P5" s="3"/>
      <c r="Q5" s="3" t="s">
        <v>496</v>
      </c>
    </row>
    <row r="6" spans="1:17">
      <c r="A6" s="3" t="s">
        <v>497</v>
      </c>
      <c r="B6" s="3" t="s">
        <v>164</v>
      </c>
      <c r="C6" s="3" t="s">
        <v>166</v>
      </c>
      <c r="D6" s="3" t="s">
        <v>498</v>
      </c>
      <c r="E6" s="3" t="s">
        <v>499</v>
      </c>
      <c r="F6" s="3">
        <v>15</v>
      </c>
      <c r="G6" s="3" t="s">
        <v>478</v>
      </c>
      <c r="H6" s="3" t="s">
        <v>345</v>
      </c>
      <c r="I6" s="3" t="s">
        <v>344</v>
      </c>
      <c r="J6" s="3" t="s">
        <v>345</v>
      </c>
      <c r="K6" s="3" t="s">
        <v>345</v>
      </c>
      <c r="L6" s="3" t="s">
        <v>479</v>
      </c>
      <c r="M6" s="3" t="s">
        <v>500</v>
      </c>
      <c r="N6" s="3" t="s">
        <v>126</v>
      </c>
      <c r="O6" s="3" t="s">
        <v>126</v>
      </c>
      <c r="P6" s="3"/>
      <c r="Q6" s="3"/>
    </row>
    <row r="7" spans="1:17" ht="28.5">
      <c r="A7" s="3" t="s">
        <v>501</v>
      </c>
      <c r="B7" s="3" t="s">
        <v>164</v>
      </c>
      <c r="C7" s="3" t="s">
        <v>166</v>
      </c>
      <c r="D7" s="3" t="s">
        <v>502</v>
      </c>
      <c r="E7" s="3" t="s">
        <v>503</v>
      </c>
      <c r="F7" s="3">
        <v>2</v>
      </c>
      <c r="G7" s="3" t="s">
        <v>478</v>
      </c>
      <c r="H7" s="3" t="s">
        <v>345</v>
      </c>
      <c r="I7" s="3" t="s">
        <v>344</v>
      </c>
      <c r="J7" s="3" t="s">
        <v>344</v>
      </c>
      <c r="K7" s="3" t="s">
        <v>344</v>
      </c>
      <c r="L7" s="3" t="s">
        <v>504</v>
      </c>
      <c r="M7" s="3" t="s">
        <v>505</v>
      </c>
      <c r="N7" s="3" t="s">
        <v>126</v>
      </c>
      <c r="O7" s="3" t="s">
        <v>126</v>
      </c>
      <c r="P7" s="3"/>
      <c r="Q7" s="3" t="s">
        <v>506</v>
      </c>
    </row>
    <row r="8" spans="1:17">
      <c r="A8" s="3" t="s">
        <v>507</v>
      </c>
      <c r="B8" s="3" t="s">
        <v>164</v>
      </c>
      <c r="C8" s="3" t="s">
        <v>166</v>
      </c>
      <c r="D8" s="3" t="s">
        <v>488</v>
      </c>
      <c r="E8" s="3" t="s">
        <v>508</v>
      </c>
      <c r="F8" s="3">
        <v>18</v>
      </c>
      <c r="G8" s="3" t="s">
        <v>478</v>
      </c>
      <c r="H8" s="3" t="s">
        <v>345</v>
      </c>
      <c r="I8" s="3" t="s">
        <v>344</v>
      </c>
      <c r="J8" s="3" t="s">
        <v>344</v>
      </c>
      <c r="K8" s="3" t="s">
        <v>344</v>
      </c>
      <c r="L8" s="3" t="s">
        <v>479</v>
      </c>
      <c r="M8" s="3" t="s">
        <v>509</v>
      </c>
      <c r="N8" s="3" t="s">
        <v>126</v>
      </c>
      <c r="O8" s="3" t="s">
        <v>126</v>
      </c>
      <c r="P8" s="3"/>
      <c r="Q8" s="3"/>
    </row>
    <row r="9" spans="1:17">
      <c r="A9" s="3" t="s">
        <v>510</v>
      </c>
      <c r="B9" s="3" t="s">
        <v>178</v>
      </c>
      <c r="C9" s="3" t="s">
        <v>180</v>
      </c>
      <c r="D9" s="3" t="s">
        <v>511</v>
      </c>
      <c r="E9" s="3" t="s">
        <v>512</v>
      </c>
      <c r="F9" s="3">
        <v>6</v>
      </c>
      <c r="G9" s="3" t="s">
        <v>513</v>
      </c>
      <c r="H9" s="3" t="s">
        <v>344</v>
      </c>
      <c r="I9" s="3" t="s">
        <v>344</v>
      </c>
      <c r="J9" s="3" t="s">
        <v>345</v>
      </c>
      <c r="K9" s="3" t="s">
        <v>345</v>
      </c>
      <c r="L9" s="3" t="s">
        <v>184</v>
      </c>
      <c r="M9" s="3" t="s">
        <v>514</v>
      </c>
      <c r="N9" s="3" t="s">
        <v>126</v>
      </c>
      <c r="O9" s="3" t="s">
        <v>184</v>
      </c>
      <c r="P9" s="3"/>
      <c r="Q9" s="3" t="s">
        <v>515</v>
      </c>
    </row>
    <row r="10" spans="1:17">
      <c r="A10" s="3" t="s">
        <v>516</v>
      </c>
      <c r="B10" s="3" t="s">
        <v>201</v>
      </c>
      <c r="C10" s="3" t="s">
        <v>202</v>
      </c>
      <c r="D10" s="3" t="s">
        <v>517</v>
      </c>
      <c r="E10" s="3" t="s">
        <v>518</v>
      </c>
      <c r="F10" s="3">
        <v>8</v>
      </c>
      <c r="G10" s="3" t="s">
        <v>478</v>
      </c>
      <c r="H10" s="3" t="s">
        <v>345</v>
      </c>
      <c r="I10" s="3" t="s">
        <v>126</v>
      </c>
      <c r="J10" s="3" t="s">
        <v>344</v>
      </c>
      <c r="K10" s="3" t="s">
        <v>344</v>
      </c>
      <c r="L10" s="3" t="s">
        <v>479</v>
      </c>
      <c r="M10" s="3" t="s">
        <v>519</v>
      </c>
      <c r="N10" s="3" t="s">
        <v>126</v>
      </c>
      <c r="O10" s="3" t="s">
        <v>126</v>
      </c>
      <c r="P10" s="3"/>
      <c r="Q10" s="3" t="s">
        <v>520</v>
      </c>
    </row>
    <row r="11" spans="1:17">
      <c r="A11" s="3" t="s">
        <v>521</v>
      </c>
      <c r="B11" s="3" t="s">
        <v>213</v>
      </c>
      <c r="C11" s="3" t="s">
        <v>214</v>
      </c>
      <c r="D11" s="3" t="s">
        <v>482</v>
      </c>
      <c r="E11" s="3" t="s">
        <v>522</v>
      </c>
      <c r="F11" s="3">
        <v>1</v>
      </c>
      <c r="G11" s="3" t="s">
        <v>513</v>
      </c>
      <c r="H11" s="3" t="s">
        <v>344</v>
      </c>
      <c r="I11" s="3" t="s">
        <v>344</v>
      </c>
      <c r="J11" s="3" t="s">
        <v>345</v>
      </c>
      <c r="K11" s="3" t="s">
        <v>345</v>
      </c>
      <c r="L11" s="3" t="s">
        <v>184</v>
      </c>
      <c r="M11" s="3" t="s">
        <v>523</v>
      </c>
      <c r="N11" s="3" t="s">
        <v>126</v>
      </c>
      <c r="O11" s="3" t="s">
        <v>184</v>
      </c>
      <c r="P11" s="3"/>
      <c r="Q11" s="3" t="s">
        <v>515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0"/>
  <sheetViews>
    <sheetView workbookViewId="0"/>
  </sheetViews>
  <sheetFormatPr defaultRowHeight="14.25"/>
  <cols>
    <col min="1" max="17" width="18" customWidth="1"/>
    <col min="18" max="18" width="34" customWidth="1"/>
  </cols>
  <sheetData>
    <row r="1" spans="1:18" ht="30">
      <c r="A1" s="2" t="s">
        <v>524</v>
      </c>
      <c r="B1" s="2" t="s">
        <v>136</v>
      </c>
      <c r="C1" s="2" t="s">
        <v>138</v>
      </c>
      <c r="D1" s="2" t="s">
        <v>92</v>
      </c>
      <c r="E1" s="2" t="s">
        <v>525</v>
      </c>
      <c r="F1" s="2" t="s">
        <v>526</v>
      </c>
      <c r="G1" s="2" t="s">
        <v>527</v>
      </c>
      <c r="H1" s="2" t="s">
        <v>528</v>
      </c>
      <c r="I1" s="2" t="s">
        <v>529</v>
      </c>
      <c r="J1" s="2" t="s">
        <v>530</v>
      </c>
      <c r="K1" s="2" t="s">
        <v>531</v>
      </c>
      <c r="L1" s="2" t="s">
        <v>532</v>
      </c>
      <c r="M1" s="2" t="s">
        <v>533</v>
      </c>
      <c r="N1" s="2" t="s">
        <v>534</v>
      </c>
      <c r="O1" s="2" t="s">
        <v>535</v>
      </c>
      <c r="P1" s="2" t="s">
        <v>536</v>
      </c>
      <c r="Q1" s="2" t="s">
        <v>537</v>
      </c>
      <c r="R1" s="2" t="s">
        <v>36</v>
      </c>
    </row>
    <row r="2" spans="1:18" ht="42.75">
      <c r="A2" s="3" t="s">
        <v>538</v>
      </c>
      <c r="B2" s="3" t="s">
        <v>150</v>
      </c>
      <c r="C2" s="3" t="s">
        <v>152</v>
      </c>
      <c r="D2" s="3" t="s">
        <v>93</v>
      </c>
      <c r="E2" s="4">
        <v>12000</v>
      </c>
      <c r="F2" s="4">
        <v>8000</v>
      </c>
      <c r="G2" s="4">
        <v>2500</v>
      </c>
      <c r="H2" s="4">
        <v>3500</v>
      </c>
      <c r="I2" s="4">
        <v>0</v>
      </c>
      <c r="J2" s="4">
        <v>0</v>
      </c>
      <c r="K2" s="4">
        <v>3000</v>
      </c>
      <c r="L2" s="4">
        <v>1000</v>
      </c>
      <c r="M2" s="4" t="s">
        <v>539</v>
      </c>
      <c r="N2" s="4">
        <v>0</v>
      </c>
      <c r="O2" s="4">
        <f t="shared" ref="O2:O33" si="0">E2+F2+G2+H2+I2+J2+K2-N2</f>
        <v>29000</v>
      </c>
      <c r="P2" s="3" t="s">
        <v>540</v>
      </c>
      <c r="Q2" s="3" t="s">
        <v>126</v>
      </c>
      <c r="R2" s="3" t="s">
        <v>541</v>
      </c>
    </row>
    <row r="3" spans="1:18" ht="28.5">
      <c r="A3" s="3" t="s">
        <v>542</v>
      </c>
      <c r="B3" s="3" t="s">
        <v>164</v>
      </c>
      <c r="C3" s="3" t="s">
        <v>166</v>
      </c>
      <c r="D3" s="3" t="s">
        <v>96</v>
      </c>
      <c r="E3" s="4">
        <v>30000</v>
      </c>
      <c r="F3" s="4">
        <v>20000</v>
      </c>
      <c r="G3" s="4">
        <v>5000</v>
      </c>
      <c r="H3" s="4">
        <v>8000</v>
      </c>
      <c r="I3" s="4">
        <v>0</v>
      </c>
      <c r="J3" s="4">
        <v>3000</v>
      </c>
      <c r="K3" s="4">
        <v>6000</v>
      </c>
      <c r="L3" s="4">
        <v>1000</v>
      </c>
      <c r="M3" s="4" t="s">
        <v>543</v>
      </c>
      <c r="N3" s="4">
        <v>0</v>
      </c>
      <c r="O3" s="4">
        <f t="shared" si="0"/>
        <v>72000</v>
      </c>
      <c r="P3" s="3" t="s">
        <v>540</v>
      </c>
      <c r="Q3" s="3" t="s">
        <v>126</v>
      </c>
      <c r="R3" s="3" t="s">
        <v>544</v>
      </c>
    </row>
    <row r="4" spans="1:18" ht="28.5">
      <c r="A4" s="3" t="s">
        <v>545</v>
      </c>
      <c r="B4" s="3" t="s">
        <v>178</v>
      </c>
      <c r="C4" s="3" t="s">
        <v>180</v>
      </c>
      <c r="D4" s="3" t="s">
        <v>104</v>
      </c>
      <c r="E4" s="4">
        <v>6000</v>
      </c>
      <c r="F4" s="4">
        <v>4000</v>
      </c>
      <c r="G4" s="4">
        <v>1000</v>
      </c>
      <c r="H4" s="4">
        <v>0</v>
      </c>
      <c r="I4" s="4">
        <v>4000</v>
      </c>
      <c r="J4" s="4">
        <v>0</v>
      </c>
      <c r="K4" s="4">
        <v>2000</v>
      </c>
      <c r="L4" s="4">
        <v>1000</v>
      </c>
      <c r="M4" s="4" t="s">
        <v>546</v>
      </c>
      <c r="N4" s="4">
        <v>0</v>
      </c>
      <c r="O4" s="4">
        <f t="shared" si="0"/>
        <v>17000</v>
      </c>
      <c r="P4" s="3" t="s">
        <v>547</v>
      </c>
      <c r="Q4" s="3" t="s">
        <v>548</v>
      </c>
      <c r="R4" s="3" t="s">
        <v>549</v>
      </c>
    </row>
    <row r="5" spans="1:18">
      <c r="A5" s="3" t="s">
        <v>550</v>
      </c>
      <c r="B5" s="3" t="s">
        <v>190</v>
      </c>
      <c r="C5" s="3" t="s">
        <v>191</v>
      </c>
      <c r="D5" s="3" t="s">
        <v>102</v>
      </c>
      <c r="E5" s="4">
        <v>4000</v>
      </c>
      <c r="F5" s="4">
        <v>2500</v>
      </c>
      <c r="G5" s="4">
        <v>800</v>
      </c>
      <c r="H5" s="4">
        <v>0</v>
      </c>
      <c r="I5" s="4">
        <v>0</v>
      </c>
      <c r="J5" s="4">
        <v>2500</v>
      </c>
      <c r="K5" s="4">
        <v>1500</v>
      </c>
      <c r="L5" s="4">
        <v>1000</v>
      </c>
      <c r="M5" s="4" t="s">
        <v>546</v>
      </c>
      <c r="N5" s="4">
        <v>0</v>
      </c>
      <c r="O5" s="4">
        <f t="shared" si="0"/>
        <v>11300</v>
      </c>
      <c r="P5" s="3" t="s">
        <v>547</v>
      </c>
      <c r="Q5" s="3" t="s">
        <v>551</v>
      </c>
      <c r="R5" s="3" t="s">
        <v>552</v>
      </c>
    </row>
    <row r="6" spans="1:18" ht="28.5">
      <c r="A6" s="3" t="s">
        <v>553</v>
      </c>
      <c r="B6" s="3" t="s">
        <v>201</v>
      </c>
      <c r="C6" s="3" t="s">
        <v>202</v>
      </c>
      <c r="D6" s="3" t="s">
        <v>98</v>
      </c>
      <c r="E6" s="4">
        <v>22000</v>
      </c>
      <c r="F6" s="4">
        <v>18000</v>
      </c>
      <c r="G6" s="4">
        <v>3000</v>
      </c>
      <c r="H6" s="4">
        <v>6000</v>
      </c>
      <c r="I6" s="4">
        <v>3000</v>
      </c>
      <c r="J6" s="4">
        <v>2000</v>
      </c>
      <c r="K6" s="4">
        <v>5000</v>
      </c>
      <c r="L6" s="4">
        <v>1000</v>
      </c>
      <c r="M6" s="4" t="s">
        <v>554</v>
      </c>
      <c r="N6" s="4">
        <v>0</v>
      </c>
      <c r="O6" s="4">
        <f t="shared" si="0"/>
        <v>59000</v>
      </c>
      <c r="P6" s="3" t="s">
        <v>540</v>
      </c>
      <c r="Q6" s="3" t="s">
        <v>551</v>
      </c>
      <c r="R6" s="3" t="s">
        <v>555</v>
      </c>
    </row>
    <row r="7" spans="1:18" ht="28.5">
      <c r="A7" s="3" t="s">
        <v>556</v>
      </c>
      <c r="B7" s="3" t="s">
        <v>213</v>
      </c>
      <c r="C7" s="3" t="s">
        <v>214</v>
      </c>
      <c r="D7" s="3" t="s">
        <v>106</v>
      </c>
      <c r="E7" s="4">
        <v>5000</v>
      </c>
      <c r="F7" s="4">
        <v>6000</v>
      </c>
      <c r="G7" s="4">
        <v>1200</v>
      </c>
      <c r="H7" s="4">
        <v>0</v>
      </c>
      <c r="I7" s="4">
        <v>5000</v>
      </c>
      <c r="J7" s="4">
        <v>0</v>
      </c>
      <c r="K7" s="4">
        <v>2000</v>
      </c>
      <c r="L7" s="4">
        <v>1000</v>
      </c>
      <c r="M7" s="4" t="s">
        <v>546</v>
      </c>
      <c r="N7" s="4">
        <v>0</v>
      </c>
      <c r="O7" s="4">
        <f t="shared" si="0"/>
        <v>19200</v>
      </c>
      <c r="P7" s="3" t="s">
        <v>547</v>
      </c>
      <c r="Q7" s="3" t="s">
        <v>548</v>
      </c>
      <c r="R7" s="3" t="s">
        <v>222</v>
      </c>
    </row>
    <row r="8" spans="1:18">
      <c r="E8" s="5"/>
      <c r="F8" s="5"/>
      <c r="G8" s="5"/>
      <c r="H8" s="5"/>
      <c r="I8" s="5"/>
      <c r="J8" s="5"/>
      <c r="K8" s="5"/>
      <c r="L8" s="5"/>
      <c r="M8" s="5"/>
      <c r="N8" s="5"/>
      <c r="O8" s="5">
        <f t="shared" si="0"/>
        <v>0</v>
      </c>
    </row>
    <row r="9" spans="1:18">
      <c r="E9" s="5"/>
      <c r="F9" s="5"/>
      <c r="G9" s="5"/>
      <c r="H9" s="5"/>
      <c r="I9" s="5"/>
      <c r="J9" s="5"/>
      <c r="K9" s="5"/>
      <c r="L9" s="5"/>
      <c r="M9" s="5"/>
      <c r="N9" s="5"/>
      <c r="O9" s="5">
        <f t="shared" si="0"/>
        <v>0</v>
      </c>
    </row>
    <row r="10" spans="1:18"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f t="shared" si="0"/>
        <v>0</v>
      </c>
    </row>
    <row r="11" spans="1:18"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f t="shared" si="0"/>
        <v>0</v>
      </c>
    </row>
    <row r="12" spans="1:18"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</row>
    <row r="13" spans="1:18"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f t="shared" si="0"/>
        <v>0</v>
      </c>
    </row>
    <row r="14" spans="1:18"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f t="shared" si="0"/>
        <v>0</v>
      </c>
    </row>
    <row r="15" spans="1:18"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f t="shared" si="0"/>
        <v>0</v>
      </c>
    </row>
    <row r="16" spans="1:18"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f t="shared" si="0"/>
        <v>0</v>
      </c>
    </row>
    <row r="17" spans="5:15"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f t="shared" si="0"/>
        <v>0</v>
      </c>
    </row>
    <row r="18" spans="5:15"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f t="shared" si="0"/>
        <v>0</v>
      </c>
    </row>
    <row r="19" spans="5:15"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f t="shared" si="0"/>
        <v>0</v>
      </c>
    </row>
    <row r="20" spans="5:15"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f t="shared" si="0"/>
        <v>0</v>
      </c>
    </row>
    <row r="21" spans="5:15"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f t="shared" si="0"/>
        <v>0</v>
      </c>
    </row>
    <row r="22" spans="5:15"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f t="shared" si="0"/>
        <v>0</v>
      </c>
    </row>
    <row r="23" spans="5:15"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0"/>
        <v>0</v>
      </c>
    </row>
    <row r="24" spans="5:15"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0"/>
        <v>0</v>
      </c>
    </row>
    <row r="25" spans="5:15"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0"/>
        <v>0</v>
      </c>
    </row>
    <row r="26" spans="5:15"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0"/>
        <v>0</v>
      </c>
    </row>
    <row r="27" spans="5:15"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0"/>
        <v>0</v>
      </c>
    </row>
    <row r="28" spans="5:15"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si="0"/>
        <v>0</v>
      </c>
    </row>
    <row r="29" spans="5:15"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 t="shared" si="0"/>
        <v>0</v>
      </c>
    </row>
    <row r="30" spans="5:15"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si="0"/>
        <v>0</v>
      </c>
    </row>
    <row r="31" spans="5:15"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si="0"/>
        <v>0</v>
      </c>
    </row>
    <row r="32" spans="5:15"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f t="shared" si="0"/>
        <v>0</v>
      </c>
    </row>
    <row r="33" spans="5:15"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f t="shared" si="0"/>
        <v>0</v>
      </c>
    </row>
    <row r="34" spans="5:15"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f t="shared" ref="O34:O65" si="1">E34+F34+G34+H34+I34+J34+K34-N34</f>
        <v>0</v>
      </c>
    </row>
    <row r="35" spans="5:15"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f t="shared" si="1"/>
        <v>0</v>
      </c>
    </row>
    <row r="36" spans="5:15"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f t="shared" si="1"/>
        <v>0</v>
      </c>
    </row>
    <row r="37" spans="5:15"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f t="shared" si="1"/>
        <v>0</v>
      </c>
    </row>
    <row r="38" spans="5:15"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f t="shared" si="1"/>
        <v>0</v>
      </c>
    </row>
    <row r="39" spans="5:15"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f t="shared" si="1"/>
        <v>0</v>
      </c>
    </row>
    <row r="40" spans="5:15"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f t="shared" si="1"/>
        <v>0</v>
      </c>
    </row>
    <row r="41" spans="5:15"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 t="shared" si="1"/>
        <v>0</v>
      </c>
    </row>
    <row r="42" spans="5:15"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f t="shared" si="1"/>
        <v>0</v>
      </c>
    </row>
    <row r="43" spans="5:15"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f t="shared" si="1"/>
        <v>0</v>
      </c>
    </row>
    <row r="44" spans="5:15"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f t="shared" si="1"/>
        <v>0</v>
      </c>
    </row>
    <row r="45" spans="5:15"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f t="shared" si="1"/>
        <v>0</v>
      </c>
    </row>
    <row r="46" spans="5:15"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f t="shared" si="1"/>
        <v>0</v>
      </c>
    </row>
    <row r="47" spans="5:15"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f t="shared" si="1"/>
        <v>0</v>
      </c>
    </row>
    <row r="48" spans="5:15"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f t="shared" si="1"/>
        <v>0</v>
      </c>
    </row>
    <row r="49" spans="5:15"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f t="shared" si="1"/>
        <v>0</v>
      </c>
    </row>
    <row r="50" spans="5:15"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f t="shared" si="1"/>
        <v>0</v>
      </c>
    </row>
    <row r="51" spans="5:15"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f t="shared" si="1"/>
        <v>0</v>
      </c>
    </row>
    <row r="52" spans="5:15"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f t="shared" si="1"/>
        <v>0</v>
      </c>
    </row>
    <row r="53" spans="5:15"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f t="shared" si="1"/>
        <v>0</v>
      </c>
    </row>
    <row r="54" spans="5:15"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f t="shared" si="1"/>
        <v>0</v>
      </c>
    </row>
    <row r="55" spans="5:15"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f t="shared" si="1"/>
        <v>0</v>
      </c>
    </row>
    <row r="56" spans="5:15"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f t="shared" si="1"/>
        <v>0</v>
      </c>
    </row>
    <row r="57" spans="5:15"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f t="shared" si="1"/>
        <v>0</v>
      </c>
    </row>
    <row r="58" spans="5:15"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f t="shared" si="1"/>
        <v>0</v>
      </c>
    </row>
    <row r="59" spans="5:15"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f t="shared" si="1"/>
        <v>0</v>
      </c>
    </row>
    <row r="60" spans="5:15"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f t="shared" si="1"/>
        <v>0</v>
      </c>
    </row>
    <row r="61" spans="5:15"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f t="shared" si="1"/>
        <v>0</v>
      </c>
    </row>
    <row r="62" spans="5:15"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f t="shared" si="1"/>
        <v>0</v>
      </c>
    </row>
    <row r="63" spans="5:15"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f t="shared" si="1"/>
        <v>0</v>
      </c>
    </row>
    <row r="64" spans="5:15"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f t="shared" si="1"/>
        <v>0</v>
      </c>
    </row>
    <row r="65" spans="5:15"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f t="shared" si="1"/>
        <v>0</v>
      </c>
    </row>
    <row r="66" spans="5:15"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f t="shared" ref="O66:O97" si="2">E66+F66+G66+H66+I66+J66+K66-N66</f>
        <v>0</v>
      </c>
    </row>
    <row r="67" spans="5:15"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f t="shared" si="2"/>
        <v>0</v>
      </c>
    </row>
    <row r="68" spans="5:15"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f t="shared" si="2"/>
        <v>0</v>
      </c>
    </row>
    <row r="69" spans="5:15"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f t="shared" si="2"/>
        <v>0</v>
      </c>
    </row>
    <row r="70" spans="5:15"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f t="shared" si="2"/>
        <v>0</v>
      </c>
    </row>
    <row r="71" spans="5:15"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f t="shared" si="2"/>
        <v>0</v>
      </c>
    </row>
    <row r="72" spans="5:15"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f t="shared" si="2"/>
        <v>0</v>
      </c>
    </row>
    <row r="73" spans="5:15"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f t="shared" si="2"/>
        <v>0</v>
      </c>
    </row>
    <row r="74" spans="5:15"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f t="shared" si="2"/>
        <v>0</v>
      </c>
    </row>
    <row r="75" spans="5:15"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f t="shared" si="2"/>
        <v>0</v>
      </c>
    </row>
    <row r="76" spans="5:15"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f t="shared" si="2"/>
        <v>0</v>
      </c>
    </row>
    <row r="77" spans="5:15"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f t="shared" si="2"/>
        <v>0</v>
      </c>
    </row>
    <row r="78" spans="5:15"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f t="shared" si="2"/>
        <v>0</v>
      </c>
    </row>
    <row r="79" spans="5:15"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f t="shared" si="2"/>
        <v>0</v>
      </c>
    </row>
    <row r="80" spans="5:15"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f t="shared" si="2"/>
        <v>0</v>
      </c>
    </row>
    <row r="81" spans="5:15"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f t="shared" si="2"/>
        <v>0</v>
      </c>
    </row>
    <row r="82" spans="5:15"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f t="shared" si="2"/>
        <v>0</v>
      </c>
    </row>
    <row r="83" spans="5:15"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f t="shared" si="2"/>
        <v>0</v>
      </c>
    </row>
    <row r="84" spans="5:15"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f t="shared" si="2"/>
        <v>0</v>
      </c>
    </row>
    <row r="85" spans="5:15"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 t="shared" si="2"/>
        <v>0</v>
      </c>
    </row>
    <row r="86" spans="5:15"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f t="shared" si="2"/>
        <v>0</v>
      </c>
    </row>
    <row r="87" spans="5:15"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f t="shared" si="2"/>
        <v>0</v>
      </c>
    </row>
    <row r="88" spans="5:15"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f t="shared" si="2"/>
        <v>0</v>
      </c>
    </row>
    <row r="89" spans="5:15"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f t="shared" si="2"/>
        <v>0</v>
      </c>
    </row>
    <row r="90" spans="5:15"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f t="shared" si="2"/>
        <v>0</v>
      </c>
    </row>
    <row r="91" spans="5:15"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f t="shared" si="2"/>
        <v>0</v>
      </c>
    </row>
    <row r="92" spans="5:15"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f t="shared" si="2"/>
        <v>0</v>
      </c>
    </row>
    <row r="93" spans="5:15"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f t="shared" si="2"/>
        <v>0</v>
      </c>
    </row>
    <row r="94" spans="5:15"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f t="shared" si="2"/>
        <v>0</v>
      </c>
    </row>
    <row r="95" spans="5:15"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f t="shared" si="2"/>
        <v>0</v>
      </c>
    </row>
    <row r="96" spans="5:15"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f t="shared" si="2"/>
        <v>0</v>
      </c>
    </row>
    <row r="97" spans="5:15">
      <c r="E97" s="5"/>
      <c r="F97" s="5"/>
      <c r="G97" s="5"/>
      <c r="H97" s="5"/>
      <c r="I97" s="5"/>
      <c r="J97" s="5"/>
      <c r="K97" s="5"/>
      <c r="L97" s="5"/>
      <c r="M97" s="5"/>
      <c r="N97" s="5"/>
      <c r="O97" s="5">
        <f t="shared" si="2"/>
        <v>0</v>
      </c>
    </row>
    <row r="98" spans="5:15"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f t="shared" ref="O98:O129" si="3">E98+F98+G98+H98+I98+J98+K98-N98</f>
        <v>0</v>
      </c>
    </row>
    <row r="99" spans="5:15"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f t="shared" si="3"/>
        <v>0</v>
      </c>
    </row>
    <row r="100" spans="5:15"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f t="shared" si="3"/>
        <v>0</v>
      </c>
    </row>
    <row r="101" spans="5:15"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>
        <f t="shared" si="3"/>
        <v>0</v>
      </c>
    </row>
    <row r="102" spans="5:15"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>
        <f t="shared" si="3"/>
        <v>0</v>
      </c>
    </row>
    <row r="103" spans="5:15"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>
        <f t="shared" si="3"/>
        <v>0</v>
      </c>
    </row>
    <row r="104" spans="5:15"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>
        <f t="shared" si="3"/>
        <v>0</v>
      </c>
    </row>
    <row r="105" spans="5:15"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>
        <f t="shared" si="3"/>
        <v>0</v>
      </c>
    </row>
    <row r="106" spans="5:15"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>
        <f t="shared" si="3"/>
        <v>0</v>
      </c>
    </row>
    <row r="107" spans="5:15"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>
        <f t="shared" si="3"/>
        <v>0</v>
      </c>
    </row>
    <row r="108" spans="5:15"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>
        <f t="shared" si="3"/>
        <v>0</v>
      </c>
    </row>
    <row r="109" spans="5:15"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>
        <f t="shared" si="3"/>
        <v>0</v>
      </c>
    </row>
    <row r="110" spans="5:15"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>
        <f t="shared" si="3"/>
        <v>0</v>
      </c>
    </row>
    <row r="111" spans="5:15"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>
        <f t="shared" si="3"/>
        <v>0</v>
      </c>
    </row>
    <row r="112" spans="5:15"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>
        <f t="shared" si="3"/>
        <v>0</v>
      </c>
    </row>
    <row r="113" spans="5:15"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>
        <f t="shared" si="3"/>
        <v>0</v>
      </c>
    </row>
    <row r="114" spans="5:15"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>
        <f t="shared" si="3"/>
        <v>0</v>
      </c>
    </row>
    <row r="115" spans="5:15"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>
        <f t="shared" si="3"/>
        <v>0</v>
      </c>
    </row>
    <row r="116" spans="5:15"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>
        <f t="shared" si="3"/>
        <v>0</v>
      </c>
    </row>
    <row r="117" spans="5:15"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>
        <f t="shared" si="3"/>
        <v>0</v>
      </c>
    </row>
    <row r="118" spans="5:15"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>
        <f t="shared" si="3"/>
        <v>0</v>
      </c>
    </row>
    <row r="119" spans="5:15"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>
        <f t="shared" si="3"/>
        <v>0</v>
      </c>
    </row>
    <row r="120" spans="5:15"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>
        <f t="shared" si="3"/>
        <v>0</v>
      </c>
    </row>
    <row r="121" spans="5:15"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>
        <f t="shared" si="3"/>
        <v>0</v>
      </c>
    </row>
    <row r="122" spans="5:15"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>
        <f t="shared" si="3"/>
        <v>0</v>
      </c>
    </row>
    <row r="123" spans="5:15"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>
        <f t="shared" si="3"/>
        <v>0</v>
      </c>
    </row>
    <row r="124" spans="5:15"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>
        <f t="shared" si="3"/>
        <v>0</v>
      </c>
    </row>
    <row r="125" spans="5:15"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>
        <f t="shared" si="3"/>
        <v>0</v>
      </c>
    </row>
    <row r="126" spans="5:15"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>
        <f t="shared" si="3"/>
        <v>0</v>
      </c>
    </row>
    <row r="127" spans="5:15"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>
        <f t="shared" si="3"/>
        <v>0</v>
      </c>
    </row>
    <row r="128" spans="5:15"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>
        <f t="shared" si="3"/>
        <v>0</v>
      </c>
    </row>
    <row r="129" spans="5:15"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>
        <f t="shared" si="3"/>
        <v>0</v>
      </c>
    </row>
    <row r="130" spans="5:15"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>
        <f t="shared" ref="O130:O161" si="4">E130+F130+G130+H130+I130+J130+K130-N130</f>
        <v>0</v>
      </c>
    </row>
    <row r="131" spans="5:15"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>
        <f t="shared" si="4"/>
        <v>0</v>
      </c>
    </row>
    <row r="132" spans="5:15"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>
        <f t="shared" si="4"/>
        <v>0</v>
      </c>
    </row>
    <row r="133" spans="5:15"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>
        <f t="shared" si="4"/>
        <v>0</v>
      </c>
    </row>
    <row r="134" spans="5:15"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>
        <f t="shared" si="4"/>
        <v>0</v>
      </c>
    </row>
    <row r="135" spans="5:15"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>
        <f t="shared" si="4"/>
        <v>0</v>
      </c>
    </row>
    <row r="136" spans="5:15"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>
        <f t="shared" si="4"/>
        <v>0</v>
      </c>
    </row>
    <row r="137" spans="5:15"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>
        <f t="shared" si="4"/>
        <v>0</v>
      </c>
    </row>
    <row r="138" spans="5:15"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>
        <f t="shared" si="4"/>
        <v>0</v>
      </c>
    </row>
    <row r="139" spans="5:15"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>
        <f t="shared" si="4"/>
        <v>0</v>
      </c>
    </row>
    <row r="140" spans="5:15"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>
        <f t="shared" si="4"/>
        <v>0</v>
      </c>
    </row>
    <row r="141" spans="5:15"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>
        <f t="shared" si="4"/>
        <v>0</v>
      </c>
    </row>
    <row r="142" spans="5:15"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>
        <f t="shared" si="4"/>
        <v>0</v>
      </c>
    </row>
    <row r="143" spans="5:15"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>
        <f t="shared" si="4"/>
        <v>0</v>
      </c>
    </row>
    <row r="144" spans="5:15"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>
        <f t="shared" si="4"/>
        <v>0</v>
      </c>
    </row>
    <row r="145" spans="5:15"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>
        <f t="shared" si="4"/>
        <v>0</v>
      </c>
    </row>
    <row r="146" spans="5:15"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>
        <f t="shared" si="4"/>
        <v>0</v>
      </c>
    </row>
    <row r="147" spans="5:15"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>
        <f t="shared" si="4"/>
        <v>0</v>
      </c>
    </row>
    <row r="148" spans="5:15"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>
        <f t="shared" si="4"/>
        <v>0</v>
      </c>
    </row>
    <row r="149" spans="5:15"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>
        <f t="shared" si="4"/>
        <v>0</v>
      </c>
    </row>
    <row r="150" spans="5:15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>
        <f t="shared" si="4"/>
        <v>0</v>
      </c>
    </row>
    <row r="151" spans="5:15"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>
        <f t="shared" si="4"/>
        <v>0</v>
      </c>
    </row>
    <row r="152" spans="5:15"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>
        <f t="shared" si="4"/>
        <v>0</v>
      </c>
    </row>
    <row r="153" spans="5:15"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>
        <f t="shared" si="4"/>
        <v>0</v>
      </c>
    </row>
    <row r="154" spans="5:15"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>
        <f t="shared" si="4"/>
        <v>0</v>
      </c>
    </row>
    <row r="155" spans="5:15"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>
        <f t="shared" si="4"/>
        <v>0</v>
      </c>
    </row>
    <row r="156" spans="5:15"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>
        <f t="shared" si="4"/>
        <v>0</v>
      </c>
    </row>
    <row r="157" spans="5:15"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>
        <f t="shared" si="4"/>
        <v>0</v>
      </c>
    </row>
    <row r="158" spans="5:15"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>
        <f t="shared" si="4"/>
        <v>0</v>
      </c>
    </row>
    <row r="159" spans="5:15"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>
        <f t="shared" si="4"/>
        <v>0</v>
      </c>
    </row>
    <row r="160" spans="5:15"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>
        <f t="shared" si="4"/>
        <v>0</v>
      </c>
    </row>
    <row r="161" spans="5:15"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>
        <f t="shared" si="4"/>
        <v>0</v>
      </c>
    </row>
    <row r="162" spans="5:15"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>
        <f t="shared" ref="O162:O193" si="5">E162+F162+G162+H162+I162+J162+K162-N162</f>
        <v>0</v>
      </c>
    </row>
    <row r="163" spans="5:15"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>
        <f t="shared" si="5"/>
        <v>0</v>
      </c>
    </row>
    <row r="164" spans="5:15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>
        <f t="shared" si="5"/>
        <v>0</v>
      </c>
    </row>
    <row r="165" spans="5:15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>
        <f t="shared" si="5"/>
        <v>0</v>
      </c>
    </row>
    <row r="166" spans="5:15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>
        <f t="shared" si="5"/>
        <v>0</v>
      </c>
    </row>
    <row r="167" spans="5:15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>
        <f t="shared" si="5"/>
        <v>0</v>
      </c>
    </row>
    <row r="168" spans="5:15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>
        <f t="shared" si="5"/>
        <v>0</v>
      </c>
    </row>
    <row r="169" spans="5:15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>
        <f t="shared" si="5"/>
        <v>0</v>
      </c>
    </row>
    <row r="170" spans="5:15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>
        <f t="shared" si="5"/>
        <v>0</v>
      </c>
    </row>
    <row r="171" spans="5:15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>
        <f t="shared" si="5"/>
        <v>0</v>
      </c>
    </row>
    <row r="172" spans="5:15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>
        <f t="shared" si="5"/>
        <v>0</v>
      </c>
    </row>
    <row r="173" spans="5:15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>
        <f t="shared" si="5"/>
        <v>0</v>
      </c>
    </row>
    <row r="174" spans="5:15"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>
        <f t="shared" si="5"/>
        <v>0</v>
      </c>
    </row>
    <row r="175" spans="5:15"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>
        <f t="shared" si="5"/>
        <v>0</v>
      </c>
    </row>
    <row r="176" spans="5:15"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>
        <f t="shared" si="5"/>
        <v>0</v>
      </c>
    </row>
    <row r="177" spans="5:15"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>
        <f t="shared" si="5"/>
        <v>0</v>
      </c>
    </row>
    <row r="178" spans="5:15"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>
        <f t="shared" si="5"/>
        <v>0</v>
      </c>
    </row>
    <row r="179" spans="5:15"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>
        <f t="shared" si="5"/>
        <v>0</v>
      </c>
    </row>
    <row r="180" spans="5:15"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>
        <f t="shared" si="5"/>
        <v>0</v>
      </c>
    </row>
    <row r="181" spans="5:15"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>
        <f t="shared" si="5"/>
        <v>0</v>
      </c>
    </row>
    <row r="182" spans="5:15"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>
        <f t="shared" si="5"/>
        <v>0</v>
      </c>
    </row>
    <row r="183" spans="5:15"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>
        <f t="shared" si="5"/>
        <v>0</v>
      </c>
    </row>
    <row r="184" spans="5:15"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>
        <f t="shared" si="5"/>
        <v>0</v>
      </c>
    </row>
    <row r="185" spans="5:15"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>
        <f t="shared" si="5"/>
        <v>0</v>
      </c>
    </row>
    <row r="186" spans="5:15"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>
        <f t="shared" si="5"/>
        <v>0</v>
      </c>
    </row>
    <row r="187" spans="5:15"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>
        <f t="shared" si="5"/>
        <v>0</v>
      </c>
    </row>
    <row r="188" spans="5:15"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>
        <f t="shared" si="5"/>
        <v>0</v>
      </c>
    </row>
    <row r="189" spans="5:15"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>
        <f t="shared" si="5"/>
        <v>0</v>
      </c>
    </row>
    <row r="190" spans="5:15"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>
        <f t="shared" si="5"/>
        <v>0</v>
      </c>
    </row>
    <row r="191" spans="5:15"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>
        <f t="shared" si="5"/>
        <v>0</v>
      </c>
    </row>
    <row r="192" spans="5:15"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>
        <f t="shared" si="5"/>
        <v>0</v>
      </c>
    </row>
    <row r="193" spans="5:15"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>
        <f t="shared" si="5"/>
        <v>0</v>
      </c>
    </row>
    <row r="194" spans="5:15"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>
        <f t="shared" ref="O194:O225" si="6">E194+F194+G194+H194+I194+J194+K194-N194</f>
        <v>0</v>
      </c>
    </row>
    <row r="195" spans="5:15"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>
        <f t="shared" si="6"/>
        <v>0</v>
      </c>
    </row>
    <row r="196" spans="5:15"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>
        <f t="shared" si="6"/>
        <v>0</v>
      </c>
    </row>
    <row r="197" spans="5:15"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>
        <f t="shared" si="6"/>
        <v>0</v>
      </c>
    </row>
    <row r="198" spans="5:15"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>
        <f t="shared" si="6"/>
        <v>0</v>
      </c>
    </row>
    <row r="199" spans="5:15"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>
        <f t="shared" si="6"/>
        <v>0</v>
      </c>
    </row>
    <row r="200" spans="5:15"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>
        <f t="shared" si="6"/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"/>
  <sheetViews>
    <sheetView workbookViewId="0"/>
  </sheetViews>
  <sheetFormatPr defaultRowHeight="14.25"/>
  <cols>
    <col min="1" max="12" width="18" customWidth="1"/>
    <col min="13" max="13" width="34" customWidth="1"/>
  </cols>
  <sheetData>
    <row r="1" spans="1:13" ht="45">
      <c r="A1" s="2" t="s">
        <v>557</v>
      </c>
      <c r="B1" s="2" t="s">
        <v>136</v>
      </c>
      <c r="C1" s="2" t="s">
        <v>138</v>
      </c>
      <c r="D1" s="2" t="s">
        <v>558</v>
      </c>
      <c r="E1" s="2" t="s">
        <v>559</v>
      </c>
      <c r="F1" s="2" t="s">
        <v>560</v>
      </c>
      <c r="G1" s="2" t="s">
        <v>561</v>
      </c>
      <c r="H1" s="2" t="s">
        <v>562</v>
      </c>
      <c r="I1" s="2" t="s">
        <v>563</v>
      </c>
      <c r="J1" s="2" t="s">
        <v>564</v>
      </c>
      <c r="K1" s="2" t="s">
        <v>565</v>
      </c>
      <c r="L1" s="2" t="s">
        <v>566</v>
      </c>
      <c r="M1" s="2" t="s">
        <v>36</v>
      </c>
    </row>
    <row r="2" spans="1:13">
      <c r="A2" s="3" t="s">
        <v>567</v>
      </c>
      <c r="B2" s="3" t="s">
        <v>150</v>
      </c>
      <c r="C2" s="3" t="s">
        <v>152</v>
      </c>
      <c r="D2" s="3" t="s">
        <v>161</v>
      </c>
      <c r="E2" s="3"/>
      <c r="F2" s="3" t="s">
        <v>568</v>
      </c>
      <c r="G2" s="3" t="s">
        <v>126</v>
      </c>
      <c r="H2" s="3" t="s">
        <v>126</v>
      </c>
      <c r="I2" s="3" t="s">
        <v>126</v>
      </c>
      <c r="J2" s="3" t="s">
        <v>126</v>
      </c>
      <c r="K2" s="3" t="s">
        <v>569</v>
      </c>
      <c r="L2" s="3"/>
      <c r="M2" s="3"/>
    </row>
    <row r="3" spans="1:13">
      <c r="A3" s="3" t="s">
        <v>570</v>
      </c>
      <c r="B3" s="3" t="s">
        <v>164</v>
      </c>
      <c r="C3" s="3" t="s">
        <v>166</v>
      </c>
      <c r="D3" s="3" t="s">
        <v>187</v>
      </c>
      <c r="E3" s="3"/>
      <c r="F3" s="3" t="s">
        <v>571</v>
      </c>
      <c r="G3" s="3" t="s">
        <v>126</v>
      </c>
      <c r="H3" s="3" t="s">
        <v>126</v>
      </c>
      <c r="I3" s="3" t="s">
        <v>126</v>
      </c>
      <c r="J3" s="3" t="s">
        <v>126</v>
      </c>
      <c r="K3" s="3" t="s">
        <v>569</v>
      </c>
      <c r="L3" s="3"/>
      <c r="M3" s="3" t="s">
        <v>572</v>
      </c>
    </row>
    <row r="4" spans="1:13">
      <c r="A4" s="3" t="s">
        <v>573</v>
      </c>
      <c r="B4" s="3" t="s">
        <v>178</v>
      </c>
      <c r="C4" s="3" t="s">
        <v>180</v>
      </c>
      <c r="D4" s="3" t="s">
        <v>175</v>
      </c>
      <c r="E4" s="3" t="s">
        <v>175</v>
      </c>
      <c r="F4" s="3" t="s">
        <v>574</v>
      </c>
      <c r="G4" s="3" t="s">
        <v>344</v>
      </c>
      <c r="H4" s="3" t="s">
        <v>344</v>
      </c>
      <c r="I4" s="3" t="s">
        <v>344</v>
      </c>
      <c r="J4" s="3" t="s">
        <v>344</v>
      </c>
      <c r="K4" s="3" t="s">
        <v>453</v>
      </c>
      <c r="L4" s="3"/>
      <c r="M4" s="3"/>
    </row>
    <row r="5" spans="1:13">
      <c r="A5" s="3" t="s">
        <v>575</v>
      </c>
      <c r="B5" s="3" t="s">
        <v>190</v>
      </c>
      <c r="C5" s="3" t="s">
        <v>191</v>
      </c>
      <c r="D5" s="3"/>
      <c r="E5" s="3"/>
      <c r="F5" s="3" t="s">
        <v>576</v>
      </c>
      <c r="G5" s="3" t="s">
        <v>345</v>
      </c>
      <c r="H5" s="3" t="s">
        <v>345</v>
      </c>
      <c r="I5" s="3" t="s">
        <v>345</v>
      </c>
      <c r="J5" s="3" t="s">
        <v>345</v>
      </c>
      <c r="K5" s="3" t="s">
        <v>551</v>
      </c>
      <c r="L5" s="3"/>
      <c r="M5" s="3"/>
    </row>
    <row r="6" spans="1:13">
      <c r="A6" s="3" t="s">
        <v>577</v>
      </c>
      <c r="B6" s="3" t="s">
        <v>201</v>
      </c>
      <c r="C6" s="3" t="s">
        <v>202</v>
      </c>
      <c r="D6" s="3"/>
      <c r="E6" s="3"/>
      <c r="F6" s="3" t="s">
        <v>578</v>
      </c>
      <c r="G6" s="3" t="s">
        <v>345</v>
      </c>
      <c r="H6" s="3" t="s">
        <v>345</v>
      </c>
      <c r="I6" s="3" t="s">
        <v>345</v>
      </c>
      <c r="J6" s="3" t="s">
        <v>345</v>
      </c>
      <c r="K6" s="3" t="s">
        <v>551</v>
      </c>
      <c r="L6" s="3"/>
      <c r="M6" s="3"/>
    </row>
    <row r="7" spans="1:13">
      <c r="A7" s="3" t="s">
        <v>579</v>
      </c>
      <c r="B7" s="3" t="s">
        <v>213</v>
      </c>
      <c r="C7" s="3" t="s">
        <v>214</v>
      </c>
      <c r="D7" s="3" t="s">
        <v>459</v>
      </c>
      <c r="E7" s="3" t="s">
        <v>459</v>
      </c>
      <c r="F7" s="3" t="s">
        <v>580</v>
      </c>
      <c r="G7" s="3" t="s">
        <v>344</v>
      </c>
      <c r="H7" s="3" t="s">
        <v>344</v>
      </c>
      <c r="I7" s="3" t="s">
        <v>344</v>
      </c>
      <c r="J7" s="3" t="s">
        <v>344</v>
      </c>
      <c r="K7" s="3" t="s">
        <v>453</v>
      </c>
      <c r="L7" s="3"/>
      <c r="M7" s="3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0"/>
  <sheetViews>
    <sheetView workbookViewId="0"/>
  </sheetViews>
  <sheetFormatPr defaultRowHeight="14.25"/>
  <cols>
    <col min="1" max="14" width="18" customWidth="1"/>
    <col min="15" max="15" width="34" customWidth="1"/>
  </cols>
  <sheetData>
    <row r="1" spans="1:15" ht="30">
      <c r="A1" s="2" t="s">
        <v>581</v>
      </c>
      <c r="B1" s="2" t="s">
        <v>136</v>
      </c>
      <c r="C1" s="2" t="s">
        <v>138</v>
      </c>
      <c r="D1" s="2" t="s">
        <v>582</v>
      </c>
      <c r="E1" s="2" t="s">
        <v>583</v>
      </c>
      <c r="F1" s="2" t="s">
        <v>54</v>
      </c>
      <c r="G1" s="2" t="s">
        <v>584</v>
      </c>
      <c r="H1" s="2" t="s">
        <v>585</v>
      </c>
      <c r="I1" s="2" t="s">
        <v>586</v>
      </c>
      <c r="J1" s="2" t="s">
        <v>587</v>
      </c>
      <c r="K1" s="2" t="s">
        <v>588</v>
      </c>
      <c r="L1" s="2" t="s">
        <v>589</v>
      </c>
      <c r="M1" s="2" t="s">
        <v>110</v>
      </c>
      <c r="N1" s="2" t="s">
        <v>590</v>
      </c>
      <c r="O1" s="2" t="s">
        <v>36</v>
      </c>
    </row>
    <row r="2" spans="1:15">
      <c r="A2" s="3" t="s">
        <v>591</v>
      </c>
      <c r="B2" s="3" t="s">
        <v>150</v>
      </c>
      <c r="C2" s="3" t="s">
        <v>152</v>
      </c>
      <c r="D2" s="4">
        <v>29000</v>
      </c>
      <c r="E2" s="4">
        <v>14500</v>
      </c>
      <c r="F2" s="4">
        <v>0</v>
      </c>
      <c r="G2" s="4">
        <v>14500</v>
      </c>
      <c r="H2" s="4">
        <v>0</v>
      </c>
      <c r="I2" s="4">
        <v>0</v>
      </c>
      <c r="J2" s="4">
        <v>29000</v>
      </c>
      <c r="K2" s="4">
        <v>0</v>
      </c>
      <c r="L2" s="4">
        <f t="shared" ref="L2:L33" si="0">MAX(0,J2-K2)</f>
        <v>29000</v>
      </c>
      <c r="M2" s="3" t="s">
        <v>111</v>
      </c>
      <c r="N2" s="3"/>
      <c r="O2" s="3"/>
    </row>
    <row r="3" spans="1:15">
      <c r="A3" s="3" t="s">
        <v>592</v>
      </c>
      <c r="B3" s="3" t="s">
        <v>164</v>
      </c>
      <c r="C3" s="3" t="s">
        <v>166</v>
      </c>
      <c r="D3" s="4">
        <v>72000</v>
      </c>
      <c r="E3" s="4">
        <v>36000</v>
      </c>
      <c r="F3" s="4">
        <v>0</v>
      </c>
      <c r="G3" s="4">
        <v>36000</v>
      </c>
      <c r="H3" s="4">
        <v>0</v>
      </c>
      <c r="I3" s="4">
        <v>0</v>
      </c>
      <c r="J3" s="4">
        <v>72000</v>
      </c>
      <c r="K3" s="4">
        <v>0</v>
      </c>
      <c r="L3" s="4">
        <f t="shared" si="0"/>
        <v>72000</v>
      </c>
      <c r="M3" s="3" t="s">
        <v>111</v>
      </c>
      <c r="N3" s="3"/>
      <c r="O3" s="3"/>
    </row>
    <row r="4" spans="1:15">
      <c r="A4" s="3" t="s">
        <v>593</v>
      </c>
      <c r="B4" s="3" t="s">
        <v>178</v>
      </c>
      <c r="C4" s="3" t="s">
        <v>180</v>
      </c>
      <c r="D4" s="4">
        <v>17000</v>
      </c>
      <c r="E4" s="4">
        <v>8500</v>
      </c>
      <c r="F4" s="4">
        <v>8500</v>
      </c>
      <c r="G4" s="4">
        <v>8500</v>
      </c>
      <c r="H4" s="4">
        <v>0</v>
      </c>
      <c r="I4" s="4">
        <v>0</v>
      </c>
      <c r="J4" s="4">
        <v>17000</v>
      </c>
      <c r="K4" s="4">
        <v>17000</v>
      </c>
      <c r="L4" s="4">
        <f t="shared" si="0"/>
        <v>0</v>
      </c>
      <c r="M4" s="3" t="s">
        <v>115</v>
      </c>
      <c r="N4" s="3" t="s">
        <v>594</v>
      </c>
      <c r="O4" s="3"/>
    </row>
    <row r="5" spans="1:15">
      <c r="A5" s="3" t="s">
        <v>595</v>
      </c>
      <c r="B5" s="3" t="s">
        <v>190</v>
      </c>
      <c r="C5" s="3" t="s">
        <v>191</v>
      </c>
      <c r="D5" s="4">
        <v>11300</v>
      </c>
      <c r="E5" s="4">
        <v>5650</v>
      </c>
      <c r="F5" s="4">
        <v>0</v>
      </c>
      <c r="G5" s="4">
        <v>5650</v>
      </c>
      <c r="H5" s="4">
        <v>0</v>
      </c>
      <c r="I5" s="4">
        <v>0</v>
      </c>
      <c r="J5" s="4">
        <v>11300</v>
      </c>
      <c r="K5" s="4">
        <v>0</v>
      </c>
      <c r="L5" s="4">
        <f t="shared" si="0"/>
        <v>11300</v>
      </c>
      <c r="M5" s="3" t="s">
        <v>111</v>
      </c>
      <c r="N5" s="3"/>
      <c r="O5" s="3" t="s">
        <v>596</v>
      </c>
    </row>
    <row r="6" spans="1:15">
      <c r="A6" s="3" t="s">
        <v>597</v>
      </c>
      <c r="B6" s="3" t="s">
        <v>201</v>
      </c>
      <c r="C6" s="3" t="s">
        <v>202</v>
      </c>
      <c r="D6" s="4">
        <v>59000</v>
      </c>
      <c r="E6" s="4">
        <v>29500</v>
      </c>
      <c r="F6" s="4">
        <v>0</v>
      </c>
      <c r="G6" s="4">
        <v>29500</v>
      </c>
      <c r="H6" s="4">
        <v>0</v>
      </c>
      <c r="I6" s="4">
        <v>0</v>
      </c>
      <c r="J6" s="4">
        <v>59000</v>
      </c>
      <c r="K6" s="4">
        <v>0</v>
      </c>
      <c r="L6" s="4">
        <f t="shared" si="0"/>
        <v>59000</v>
      </c>
      <c r="M6" s="3" t="s">
        <v>111</v>
      </c>
      <c r="N6" s="3"/>
      <c r="O6" s="3"/>
    </row>
    <row r="7" spans="1:15">
      <c r="A7" s="3" t="s">
        <v>598</v>
      </c>
      <c r="B7" s="3" t="s">
        <v>213</v>
      </c>
      <c r="C7" s="3" t="s">
        <v>214</v>
      </c>
      <c r="D7" s="4">
        <v>19200</v>
      </c>
      <c r="E7" s="4">
        <v>9600</v>
      </c>
      <c r="F7" s="4">
        <v>9600</v>
      </c>
      <c r="G7" s="4">
        <v>9600</v>
      </c>
      <c r="H7" s="4">
        <v>0</v>
      </c>
      <c r="I7" s="4">
        <v>0</v>
      </c>
      <c r="J7" s="4">
        <v>19200</v>
      </c>
      <c r="K7" s="4">
        <v>19200</v>
      </c>
      <c r="L7" s="4">
        <f t="shared" si="0"/>
        <v>0</v>
      </c>
      <c r="M7" s="3" t="s">
        <v>115</v>
      </c>
      <c r="N7" s="3" t="s">
        <v>599</v>
      </c>
      <c r="O7" s="3"/>
    </row>
    <row r="8" spans="1:15">
      <c r="D8" s="5"/>
      <c r="E8" s="5"/>
      <c r="F8" s="5"/>
      <c r="G8" s="5"/>
      <c r="H8" s="5"/>
      <c r="I8" s="5"/>
      <c r="J8" s="5"/>
      <c r="K8" s="5"/>
      <c r="L8" s="5">
        <f t="shared" si="0"/>
        <v>0</v>
      </c>
    </row>
    <row r="9" spans="1:15">
      <c r="D9" s="5"/>
      <c r="E9" s="5"/>
      <c r="F9" s="5"/>
      <c r="G9" s="5"/>
      <c r="H9" s="5"/>
      <c r="I9" s="5"/>
      <c r="J9" s="5"/>
      <c r="K9" s="5"/>
      <c r="L9" s="5">
        <f t="shared" si="0"/>
        <v>0</v>
      </c>
    </row>
    <row r="10" spans="1:15">
      <c r="D10" s="5"/>
      <c r="E10" s="5"/>
      <c r="F10" s="5"/>
      <c r="G10" s="5"/>
      <c r="H10" s="5"/>
      <c r="I10" s="5"/>
      <c r="J10" s="5"/>
      <c r="K10" s="5"/>
      <c r="L10" s="5">
        <f t="shared" si="0"/>
        <v>0</v>
      </c>
    </row>
    <row r="11" spans="1:15">
      <c r="D11" s="5"/>
      <c r="E11" s="5"/>
      <c r="F11" s="5"/>
      <c r="G11" s="5"/>
      <c r="H11" s="5"/>
      <c r="I11" s="5"/>
      <c r="J11" s="5"/>
      <c r="K11" s="5"/>
      <c r="L11" s="5">
        <f t="shared" si="0"/>
        <v>0</v>
      </c>
    </row>
    <row r="12" spans="1:15">
      <c r="D12" s="5"/>
      <c r="E12" s="5"/>
      <c r="F12" s="5"/>
      <c r="G12" s="5"/>
      <c r="H12" s="5"/>
      <c r="I12" s="5"/>
      <c r="J12" s="5"/>
      <c r="K12" s="5"/>
      <c r="L12" s="5">
        <f t="shared" si="0"/>
        <v>0</v>
      </c>
    </row>
    <row r="13" spans="1:15">
      <c r="D13" s="5"/>
      <c r="E13" s="5"/>
      <c r="F13" s="5"/>
      <c r="G13" s="5"/>
      <c r="H13" s="5"/>
      <c r="I13" s="5"/>
      <c r="J13" s="5"/>
      <c r="K13" s="5"/>
      <c r="L13" s="5">
        <f t="shared" si="0"/>
        <v>0</v>
      </c>
    </row>
    <row r="14" spans="1:15">
      <c r="D14" s="5"/>
      <c r="E14" s="5"/>
      <c r="F14" s="5"/>
      <c r="G14" s="5"/>
      <c r="H14" s="5"/>
      <c r="I14" s="5"/>
      <c r="J14" s="5"/>
      <c r="K14" s="5"/>
      <c r="L14" s="5">
        <f t="shared" si="0"/>
        <v>0</v>
      </c>
    </row>
    <row r="15" spans="1:15">
      <c r="D15" s="5"/>
      <c r="E15" s="5"/>
      <c r="F15" s="5"/>
      <c r="G15" s="5"/>
      <c r="H15" s="5"/>
      <c r="I15" s="5"/>
      <c r="J15" s="5"/>
      <c r="K15" s="5"/>
      <c r="L15" s="5">
        <f t="shared" si="0"/>
        <v>0</v>
      </c>
    </row>
    <row r="16" spans="1:15">
      <c r="D16" s="5"/>
      <c r="E16" s="5"/>
      <c r="F16" s="5"/>
      <c r="G16" s="5"/>
      <c r="H16" s="5"/>
      <c r="I16" s="5"/>
      <c r="J16" s="5"/>
      <c r="K16" s="5"/>
      <c r="L16" s="5">
        <f t="shared" si="0"/>
        <v>0</v>
      </c>
    </row>
    <row r="17" spans="4:12">
      <c r="D17" s="5"/>
      <c r="E17" s="5"/>
      <c r="F17" s="5"/>
      <c r="G17" s="5"/>
      <c r="H17" s="5"/>
      <c r="I17" s="5"/>
      <c r="J17" s="5"/>
      <c r="K17" s="5"/>
      <c r="L17" s="5">
        <f t="shared" si="0"/>
        <v>0</v>
      </c>
    </row>
    <row r="18" spans="4:12">
      <c r="D18" s="5"/>
      <c r="E18" s="5"/>
      <c r="F18" s="5"/>
      <c r="G18" s="5"/>
      <c r="H18" s="5"/>
      <c r="I18" s="5"/>
      <c r="J18" s="5"/>
      <c r="K18" s="5"/>
      <c r="L18" s="5">
        <f t="shared" si="0"/>
        <v>0</v>
      </c>
    </row>
    <row r="19" spans="4:12">
      <c r="D19" s="5"/>
      <c r="E19" s="5"/>
      <c r="F19" s="5"/>
      <c r="G19" s="5"/>
      <c r="H19" s="5"/>
      <c r="I19" s="5"/>
      <c r="J19" s="5"/>
      <c r="K19" s="5"/>
      <c r="L19" s="5">
        <f t="shared" si="0"/>
        <v>0</v>
      </c>
    </row>
    <row r="20" spans="4:12">
      <c r="D20" s="5"/>
      <c r="E20" s="5"/>
      <c r="F20" s="5"/>
      <c r="G20" s="5"/>
      <c r="H20" s="5"/>
      <c r="I20" s="5"/>
      <c r="J20" s="5"/>
      <c r="K20" s="5"/>
      <c r="L20" s="5">
        <f t="shared" si="0"/>
        <v>0</v>
      </c>
    </row>
    <row r="21" spans="4:12">
      <c r="D21" s="5"/>
      <c r="E21" s="5"/>
      <c r="F21" s="5"/>
      <c r="G21" s="5"/>
      <c r="H21" s="5"/>
      <c r="I21" s="5"/>
      <c r="J21" s="5"/>
      <c r="K21" s="5"/>
      <c r="L21" s="5">
        <f t="shared" si="0"/>
        <v>0</v>
      </c>
    </row>
    <row r="22" spans="4:12">
      <c r="D22" s="5"/>
      <c r="E22" s="5"/>
      <c r="F22" s="5"/>
      <c r="G22" s="5"/>
      <c r="H22" s="5"/>
      <c r="I22" s="5"/>
      <c r="J22" s="5"/>
      <c r="K22" s="5"/>
      <c r="L22" s="5">
        <f t="shared" si="0"/>
        <v>0</v>
      </c>
    </row>
    <row r="23" spans="4:12">
      <c r="D23" s="5"/>
      <c r="E23" s="5"/>
      <c r="F23" s="5"/>
      <c r="G23" s="5"/>
      <c r="H23" s="5"/>
      <c r="I23" s="5"/>
      <c r="J23" s="5"/>
      <c r="K23" s="5"/>
      <c r="L23" s="5">
        <f t="shared" si="0"/>
        <v>0</v>
      </c>
    </row>
    <row r="24" spans="4:12">
      <c r="D24" s="5"/>
      <c r="E24" s="5"/>
      <c r="F24" s="5"/>
      <c r="G24" s="5"/>
      <c r="H24" s="5"/>
      <c r="I24" s="5"/>
      <c r="J24" s="5"/>
      <c r="K24" s="5"/>
      <c r="L24" s="5">
        <f t="shared" si="0"/>
        <v>0</v>
      </c>
    </row>
    <row r="25" spans="4:12">
      <c r="D25" s="5"/>
      <c r="E25" s="5"/>
      <c r="F25" s="5"/>
      <c r="G25" s="5"/>
      <c r="H25" s="5"/>
      <c r="I25" s="5"/>
      <c r="J25" s="5"/>
      <c r="K25" s="5"/>
      <c r="L25" s="5">
        <f t="shared" si="0"/>
        <v>0</v>
      </c>
    </row>
    <row r="26" spans="4:12">
      <c r="D26" s="5"/>
      <c r="E26" s="5"/>
      <c r="F26" s="5"/>
      <c r="G26" s="5"/>
      <c r="H26" s="5"/>
      <c r="I26" s="5"/>
      <c r="J26" s="5"/>
      <c r="K26" s="5"/>
      <c r="L26" s="5">
        <f t="shared" si="0"/>
        <v>0</v>
      </c>
    </row>
    <row r="27" spans="4:12">
      <c r="D27" s="5"/>
      <c r="E27" s="5"/>
      <c r="F27" s="5"/>
      <c r="G27" s="5"/>
      <c r="H27" s="5"/>
      <c r="I27" s="5"/>
      <c r="J27" s="5"/>
      <c r="K27" s="5"/>
      <c r="L27" s="5">
        <f t="shared" si="0"/>
        <v>0</v>
      </c>
    </row>
    <row r="28" spans="4:12">
      <c r="D28" s="5"/>
      <c r="E28" s="5"/>
      <c r="F28" s="5"/>
      <c r="G28" s="5"/>
      <c r="H28" s="5"/>
      <c r="I28" s="5"/>
      <c r="J28" s="5"/>
      <c r="K28" s="5"/>
      <c r="L28" s="5">
        <f t="shared" si="0"/>
        <v>0</v>
      </c>
    </row>
    <row r="29" spans="4:12">
      <c r="D29" s="5"/>
      <c r="E29" s="5"/>
      <c r="F29" s="5"/>
      <c r="G29" s="5"/>
      <c r="H29" s="5"/>
      <c r="I29" s="5"/>
      <c r="J29" s="5"/>
      <c r="K29" s="5"/>
      <c r="L29" s="5">
        <f t="shared" si="0"/>
        <v>0</v>
      </c>
    </row>
    <row r="30" spans="4:12">
      <c r="D30" s="5"/>
      <c r="E30" s="5"/>
      <c r="F30" s="5"/>
      <c r="G30" s="5"/>
      <c r="H30" s="5"/>
      <c r="I30" s="5"/>
      <c r="J30" s="5"/>
      <c r="K30" s="5"/>
      <c r="L30" s="5">
        <f t="shared" si="0"/>
        <v>0</v>
      </c>
    </row>
    <row r="31" spans="4:12">
      <c r="D31" s="5"/>
      <c r="E31" s="5"/>
      <c r="F31" s="5"/>
      <c r="G31" s="5"/>
      <c r="H31" s="5"/>
      <c r="I31" s="5"/>
      <c r="J31" s="5"/>
      <c r="K31" s="5"/>
      <c r="L31" s="5">
        <f t="shared" si="0"/>
        <v>0</v>
      </c>
    </row>
    <row r="32" spans="4:12">
      <c r="D32" s="5"/>
      <c r="E32" s="5"/>
      <c r="F32" s="5"/>
      <c r="G32" s="5"/>
      <c r="H32" s="5"/>
      <c r="I32" s="5"/>
      <c r="J32" s="5"/>
      <c r="K32" s="5"/>
      <c r="L32" s="5">
        <f t="shared" si="0"/>
        <v>0</v>
      </c>
    </row>
    <row r="33" spans="4:12">
      <c r="D33" s="5"/>
      <c r="E33" s="5"/>
      <c r="F33" s="5"/>
      <c r="G33" s="5"/>
      <c r="H33" s="5"/>
      <c r="I33" s="5"/>
      <c r="J33" s="5"/>
      <c r="K33" s="5"/>
      <c r="L33" s="5">
        <f t="shared" si="0"/>
        <v>0</v>
      </c>
    </row>
    <row r="34" spans="4:12">
      <c r="D34" s="5"/>
      <c r="E34" s="5"/>
      <c r="F34" s="5"/>
      <c r="G34" s="5"/>
      <c r="H34" s="5"/>
      <c r="I34" s="5"/>
      <c r="J34" s="5"/>
      <c r="K34" s="5"/>
      <c r="L34" s="5">
        <f t="shared" ref="L34:L65" si="1">MAX(0,J34-K34)</f>
        <v>0</v>
      </c>
    </row>
    <row r="35" spans="4:12">
      <c r="D35" s="5"/>
      <c r="E35" s="5"/>
      <c r="F35" s="5"/>
      <c r="G35" s="5"/>
      <c r="H35" s="5"/>
      <c r="I35" s="5"/>
      <c r="J35" s="5"/>
      <c r="K35" s="5"/>
      <c r="L35" s="5">
        <f t="shared" si="1"/>
        <v>0</v>
      </c>
    </row>
    <row r="36" spans="4:12">
      <c r="D36" s="5"/>
      <c r="E36" s="5"/>
      <c r="F36" s="5"/>
      <c r="G36" s="5"/>
      <c r="H36" s="5"/>
      <c r="I36" s="5"/>
      <c r="J36" s="5"/>
      <c r="K36" s="5"/>
      <c r="L36" s="5">
        <f t="shared" si="1"/>
        <v>0</v>
      </c>
    </row>
    <row r="37" spans="4:12">
      <c r="D37" s="5"/>
      <c r="E37" s="5"/>
      <c r="F37" s="5"/>
      <c r="G37" s="5"/>
      <c r="H37" s="5"/>
      <c r="I37" s="5"/>
      <c r="J37" s="5"/>
      <c r="K37" s="5"/>
      <c r="L37" s="5">
        <f t="shared" si="1"/>
        <v>0</v>
      </c>
    </row>
    <row r="38" spans="4:12">
      <c r="D38" s="5"/>
      <c r="E38" s="5"/>
      <c r="F38" s="5"/>
      <c r="G38" s="5"/>
      <c r="H38" s="5"/>
      <c r="I38" s="5"/>
      <c r="J38" s="5"/>
      <c r="K38" s="5"/>
      <c r="L38" s="5">
        <f t="shared" si="1"/>
        <v>0</v>
      </c>
    </row>
    <row r="39" spans="4:12">
      <c r="D39" s="5"/>
      <c r="E39" s="5"/>
      <c r="F39" s="5"/>
      <c r="G39" s="5"/>
      <c r="H39" s="5"/>
      <c r="I39" s="5"/>
      <c r="J39" s="5"/>
      <c r="K39" s="5"/>
      <c r="L39" s="5">
        <f t="shared" si="1"/>
        <v>0</v>
      </c>
    </row>
    <row r="40" spans="4:12">
      <c r="D40" s="5"/>
      <c r="E40" s="5"/>
      <c r="F40" s="5"/>
      <c r="G40" s="5"/>
      <c r="H40" s="5"/>
      <c r="I40" s="5"/>
      <c r="J40" s="5"/>
      <c r="K40" s="5"/>
      <c r="L40" s="5">
        <f t="shared" si="1"/>
        <v>0</v>
      </c>
    </row>
    <row r="41" spans="4:12">
      <c r="D41" s="5"/>
      <c r="E41" s="5"/>
      <c r="F41" s="5"/>
      <c r="G41" s="5"/>
      <c r="H41" s="5"/>
      <c r="I41" s="5"/>
      <c r="J41" s="5"/>
      <c r="K41" s="5"/>
      <c r="L41" s="5">
        <f t="shared" si="1"/>
        <v>0</v>
      </c>
    </row>
    <row r="42" spans="4:12">
      <c r="D42" s="5"/>
      <c r="E42" s="5"/>
      <c r="F42" s="5"/>
      <c r="G42" s="5"/>
      <c r="H42" s="5"/>
      <c r="I42" s="5"/>
      <c r="J42" s="5"/>
      <c r="K42" s="5"/>
      <c r="L42" s="5">
        <f t="shared" si="1"/>
        <v>0</v>
      </c>
    </row>
    <row r="43" spans="4:12">
      <c r="D43" s="5"/>
      <c r="E43" s="5"/>
      <c r="F43" s="5"/>
      <c r="G43" s="5"/>
      <c r="H43" s="5"/>
      <c r="I43" s="5"/>
      <c r="J43" s="5"/>
      <c r="K43" s="5"/>
      <c r="L43" s="5">
        <f t="shared" si="1"/>
        <v>0</v>
      </c>
    </row>
    <row r="44" spans="4:12">
      <c r="D44" s="5"/>
      <c r="E44" s="5"/>
      <c r="F44" s="5"/>
      <c r="G44" s="5"/>
      <c r="H44" s="5"/>
      <c r="I44" s="5"/>
      <c r="J44" s="5"/>
      <c r="K44" s="5"/>
      <c r="L44" s="5">
        <f t="shared" si="1"/>
        <v>0</v>
      </c>
    </row>
    <row r="45" spans="4:12">
      <c r="D45" s="5"/>
      <c r="E45" s="5"/>
      <c r="F45" s="5"/>
      <c r="G45" s="5"/>
      <c r="H45" s="5"/>
      <c r="I45" s="5"/>
      <c r="J45" s="5"/>
      <c r="K45" s="5"/>
      <c r="L45" s="5">
        <f t="shared" si="1"/>
        <v>0</v>
      </c>
    </row>
    <row r="46" spans="4:12">
      <c r="D46" s="5"/>
      <c r="E46" s="5"/>
      <c r="F46" s="5"/>
      <c r="G46" s="5"/>
      <c r="H46" s="5"/>
      <c r="I46" s="5"/>
      <c r="J46" s="5"/>
      <c r="K46" s="5"/>
      <c r="L46" s="5">
        <f t="shared" si="1"/>
        <v>0</v>
      </c>
    </row>
    <row r="47" spans="4:12">
      <c r="D47" s="5"/>
      <c r="E47" s="5"/>
      <c r="F47" s="5"/>
      <c r="G47" s="5"/>
      <c r="H47" s="5"/>
      <c r="I47" s="5"/>
      <c r="J47" s="5"/>
      <c r="K47" s="5"/>
      <c r="L47" s="5">
        <f t="shared" si="1"/>
        <v>0</v>
      </c>
    </row>
    <row r="48" spans="4:12">
      <c r="D48" s="5"/>
      <c r="E48" s="5"/>
      <c r="F48" s="5"/>
      <c r="G48" s="5"/>
      <c r="H48" s="5"/>
      <c r="I48" s="5"/>
      <c r="J48" s="5"/>
      <c r="K48" s="5"/>
      <c r="L48" s="5">
        <f t="shared" si="1"/>
        <v>0</v>
      </c>
    </row>
    <row r="49" spans="4:12">
      <c r="D49" s="5"/>
      <c r="E49" s="5"/>
      <c r="F49" s="5"/>
      <c r="G49" s="5"/>
      <c r="H49" s="5"/>
      <c r="I49" s="5"/>
      <c r="J49" s="5"/>
      <c r="K49" s="5"/>
      <c r="L49" s="5">
        <f t="shared" si="1"/>
        <v>0</v>
      </c>
    </row>
    <row r="50" spans="4:12">
      <c r="D50" s="5"/>
      <c r="E50" s="5"/>
      <c r="F50" s="5"/>
      <c r="G50" s="5"/>
      <c r="H50" s="5"/>
      <c r="I50" s="5"/>
      <c r="J50" s="5"/>
      <c r="K50" s="5"/>
      <c r="L50" s="5">
        <f t="shared" si="1"/>
        <v>0</v>
      </c>
    </row>
    <row r="51" spans="4:12">
      <c r="D51" s="5"/>
      <c r="E51" s="5"/>
      <c r="F51" s="5"/>
      <c r="G51" s="5"/>
      <c r="H51" s="5"/>
      <c r="I51" s="5"/>
      <c r="J51" s="5"/>
      <c r="K51" s="5"/>
      <c r="L51" s="5">
        <f t="shared" si="1"/>
        <v>0</v>
      </c>
    </row>
    <row r="52" spans="4:12">
      <c r="D52" s="5"/>
      <c r="E52" s="5"/>
      <c r="F52" s="5"/>
      <c r="G52" s="5"/>
      <c r="H52" s="5"/>
      <c r="I52" s="5"/>
      <c r="J52" s="5"/>
      <c r="K52" s="5"/>
      <c r="L52" s="5">
        <f t="shared" si="1"/>
        <v>0</v>
      </c>
    </row>
    <row r="53" spans="4:12">
      <c r="D53" s="5"/>
      <c r="E53" s="5"/>
      <c r="F53" s="5"/>
      <c r="G53" s="5"/>
      <c r="H53" s="5"/>
      <c r="I53" s="5"/>
      <c r="J53" s="5"/>
      <c r="K53" s="5"/>
      <c r="L53" s="5">
        <f t="shared" si="1"/>
        <v>0</v>
      </c>
    </row>
    <row r="54" spans="4:12">
      <c r="D54" s="5"/>
      <c r="E54" s="5"/>
      <c r="F54" s="5"/>
      <c r="G54" s="5"/>
      <c r="H54" s="5"/>
      <c r="I54" s="5"/>
      <c r="J54" s="5"/>
      <c r="K54" s="5"/>
      <c r="L54" s="5">
        <f t="shared" si="1"/>
        <v>0</v>
      </c>
    </row>
    <row r="55" spans="4:12">
      <c r="D55" s="5"/>
      <c r="E55" s="5"/>
      <c r="F55" s="5"/>
      <c r="G55" s="5"/>
      <c r="H55" s="5"/>
      <c r="I55" s="5"/>
      <c r="J55" s="5"/>
      <c r="K55" s="5"/>
      <c r="L55" s="5">
        <f t="shared" si="1"/>
        <v>0</v>
      </c>
    </row>
    <row r="56" spans="4:12">
      <c r="D56" s="5"/>
      <c r="E56" s="5"/>
      <c r="F56" s="5"/>
      <c r="G56" s="5"/>
      <c r="H56" s="5"/>
      <c r="I56" s="5"/>
      <c r="J56" s="5"/>
      <c r="K56" s="5"/>
      <c r="L56" s="5">
        <f t="shared" si="1"/>
        <v>0</v>
      </c>
    </row>
    <row r="57" spans="4:12">
      <c r="D57" s="5"/>
      <c r="E57" s="5"/>
      <c r="F57" s="5"/>
      <c r="G57" s="5"/>
      <c r="H57" s="5"/>
      <c r="I57" s="5"/>
      <c r="J57" s="5"/>
      <c r="K57" s="5"/>
      <c r="L57" s="5">
        <f t="shared" si="1"/>
        <v>0</v>
      </c>
    </row>
    <row r="58" spans="4:12">
      <c r="D58" s="5"/>
      <c r="E58" s="5"/>
      <c r="F58" s="5"/>
      <c r="G58" s="5"/>
      <c r="H58" s="5"/>
      <c r="I58" s="5"/>
      <c r="J58" s="5"/>
      <c r="K58" s="5"/>
      <c r="L58" s="5">
        <f t="shared" si="1"/>
        <v>0</v>
      </c>
    </row>
    <row r="59" spans="4:12">
      <c r="D59" s="5"/>
      <c r="E59" s="5"/>
      <c r="F59" s="5"/>
      <c r="G59" s="5"/>
      <c r="H59" s="5"/>
      <c r="I59" s="5"/>
      <c r="J59" s="5"/>
      <c r="K59" s="5"/>
      <c r="L59" s="5">
        <f t="shared" si="1"/>
        <v>0</v>
      </c>
    </row>
    <row r="60" spans="4:12">
      <c r="D60" s="5"/>
      <c r="E60" s="5"/>
      <c r="F60" s="5"/>
      <c r="G60" s="5"/>
      <c r="H60" s="5"/>
      <c r="I60" s="5"/>
      <c r="J60" s="5"/>
      <c r="K60" s="5"/>
      <c r="L60" s="5">
        <f t="shared" si="1"/>
        <v>0</v>
      </c>
    </row>
    <row r="61" spans="4:12">
      <c r="D61" s="5"/>
      <c r="E61" s="5"/>
      <c r="F61" s="5"/>
      <c r="G61" s="5"/>
      <c r="H61" s="5"/>
      <c r="I61" s="5"/>
      <c r="J61" s="5"/>
      <c r="K61" s="5"/>
      <c r="L61" s="5">
        <f t="shared" si="1"/>
        <v>0</v>
      </c>
    </row>
    <row r="62" spans="4:12">
      <c r="D62" s="5"/>
      <c r="E62" s="5"/>
      <c r="F62" s="5"/>
      <c r="G62" s="5"/>
      <c r="H62" s="5"/>
      <c r="I62" s="5"/>
      <c r="J62" s="5"/>
      <c r="K62" s="5"/>
      <c r="L62" s="5">
        <f t="shared" si="1"/>
        <v>0</v>
      </c>
    </row>
    <row r="63" spans="4:12">
      <c r="D63" s="5"/>
      <c r="E63" s="5"/>
      <c r="F63" s="5"/>
      <c r="G63" s="5"/>
      <c r="H63" s="5"/>
      <c r="I63" s="5"/>
      <c r="J63" s="5"/>
      <c r="K63" s="5"/>
      <c r="L63" s="5">
        <f t="shared" si="1"/>
        <v>0</v>
      </c>
    </row>
    <row r="64" spans="4:12">
      <c r="D64" s="5"/>
      <c r="E64" s="5"/>
      <c r="F64" s="5"/>
      <c r="G64" s="5"/>
      <c r="H64" s="5"/>
      <c r="I64" s="5"/>
      <c r="J64" s="5"/>
      <c r="K64" s="5"/>
      <c r="L64" s="5">
        <f t="shared" si="1"/>
        <v>0</v>
      </c>
    </row>
    <row r="65" spans="4:12">
      <c r="D65" s="5"/>
      <c r="E65" s="5"/>
      <c r="F65" s="5"/>
      <c r="G65" s="5"/>
      <c r="H65" s="5"/>
      <c r="I65" s="5"/>
      <c r="J65" s="5"/>
      <c r="K65" s="5"/>
      <c r="L65" s="5">
        <f t="shared" si="1"/>
        <v>0</v>
      </c>
    </row>
    <row r="66" spans="4:12">
      <c r="D66" s="5"/>
      <c r="E66" s="5"/>
      <c r="F66" s="5"/>
      <c r="G66" s="5"/>
      <c r="H66" s="5"/>
      <c r="I66" s="5"/>
      <c r="J66" s="5"/>
      <c r="K66" s="5"/>
      <c r="L66" s="5">
        <f t="shared" ref="L66:L97" si="2">MAX(0,J66-K66)</f>
        <v>0</v>
      </c>
    </row>
    <row r="67" spans="4:12">
      <c r="D67" s="5"/>
      <c r="E67" s="5"/>
      <c r="F67" s="5"/>
      <c r="G67" s="5"/>
      <c r="H67" s="5"/>
      <c r="I67" s="5"/>
      <c r="J67" s="5"/>
      <c r="K67" s="5"/>
      <c r="L67" s="5">
        <f t="shared" si="2"/>
        <v>0</v>
      </c>
    </row>
    <row r="68" spans="4:12">
      <c r="D68" s="5"/>
      <c r="E68" s="5"/>
      <c r="F68" s="5"/>
      <c r="G68" s="5"/>
      <c r="H68" s="5"/>
      <c r="I68" s="5"/>
      <c r="J68" s="5"/>
      <c r="K68" s="5"/>
      <c r="L68" s="5">
        <f t="shared" si="2"/>
        <v>0</v>
      </c>
    </row>
    <row r="69" spans="4:12">
      <c r="D69" s="5"/>
      <c r="E69" s="5"/>
      <c r="F69" s="5"/>
      <c r="G69" s="5"/>
      <c r="H69" s="5"/>
      <c r="I69" s="5"/>
      <c r="J69" s="5"/>
      <c r="K69" s="5"/>
      <c r="L69" s="5">
        <f t="shared" si="2"/>
        <v>0</v>
      </c>
    </row>
    <row r="70" spans="4:12">
      <c r="D70" s="5"/>
      <c r="E70" s="5"/>
      <c r="F70" s="5"/>
      <c r="G70" s="5"/>
      <c r="H70" s="5"/>
      <c r="I70" s="5"/>
      <c r="J70" s="5"/>
      <c r="K70" s="5"/>
      <c r="L70" s="5">
        <f t="shared" si="2"/>
        <v>0</v>
      </c>
    </row>
    <row r="71" spans="4:12">
      <c r="D71" s="5"/>
      <c r="E71" s="5"/>
      <c r="F71" s="5"/>
      <c r="G71" s="5"/>
      <c r="H71" s="5"/>
      <c r="I71" s="5"/>
      <c r="J71" s="5"/>
      <c r="K71" s="5"/>
      <c r="L71" s="5">
        <f t="shared" si="2"/>
        <v>0</v>
      </c>
    </row>
    <row r="72" spans="4:12">
      <c r="D72" s="5"/>
      <c r="E72" s="5"/>
      <c r="F72" s="5"/>
      <c r="G72" s="5"/>
      <c r="H72" s="5"/>
      <c r="I72" s="5"/>
      <c r="J72" s="5"/>
      <c r="K72" s="5"/>
      <c r="L72" s="5">
        <f t="shared" si="2"/>
        <v>0</v>
      </c>
    </row>
    <row r="73" spans="4:12">
      <c r="D73" s="5"/>
      <c r="E73" s="5"/>
      <c r="F73" s="5"/>
      <c r="G73" s="5"/>
      <c r="H73" s="5"/>
      <c r="I73" s="5"/>
      <c r="J73" s="5"/>
      <c r="K73" s="5"/>
      <c r="L73" s="5">
        <f t="shared" si="2"/>
        <v>0</v>
      </c>
    </row>
    <row r="74" spans="4:12">
      <c r="D74" s="5"/>
      <c r="E74" s="5"/>
      <c r="F74" s="5"/>
      <c r="G74" s="5"/>
      <c r="H74" s="5"/>
      <c r="I74" s="5"/>
      <c r="J74" s="5"/>
      <c r="K74" s="5"/>
      <c r="L74" s="5">
        <f t="shared" si="2"/>
        <v>0</v>
      </c>
    </row>
    <row r="75" spans="4:12">
      <c r="D75" s="5"/>
      <c r="E75" s="5"/>
      <c r="F75" s="5"/>
      <c r="G75" s="5"/>
      <c r="H75" s="5"/>
      <c r="I75" s="5"/>
      <c r="J75" s="5"/>
      <c r="K75" s="5"/>
      <c r="L75" s="5">
        <f t="shared" si="2"/>
        <v>0</v>
      </c>
    </row>
    <row r="76" spans="4:12">
      <c r="D76" s="5"/>
      <c r="E76" s="5"/>
      <c r="F76" s="5"/>
      <c r="G76" s="5"/>
      <c r="H76" s="5"/>
      <c r="I76" s="5"/>
      <c r="J76" s="5"/>
      <c r="K76" s="5"/>
      <c r="L76" s="5">
        <f t="shared" si="2"/>
        <v>0</v>
      </c>
    </row>
    <row r="77" spans="4:12">
      <c r="D77" s="5"/>
      <c r="E77" s="5"/>
      <c r="F77" s="5"/>
      <c r="G77" s="5"/>
      <c r="H77" s="5"/>
      <c r="I77" s="5"/>
      <c r="J77" s="5"/>
      <c r="K77" s="5"/>
      <c r="L77" s="5">
        <f t="shared" si="2"/>
        <v>0</v>
      </c>
    </row>
    <row r="78" spans="4:12">
      <c r="D78" s="5"/>
      <c r="E78" s="5"/>
      <c r="F78" s="5"/>
      <c r="G78" s="5"/>
      <c r="H78" s="5"/>
      <c r="I78" s="5"/>
      <c r="J78" s="5"/>
      <c r="K78" s="5"/>
      <c r="L78" s="5">
        <f t="shared" si="2"/>
        <v>0</v>
      </c>
    </row>
    <row r="79" spans="4:12">
      <c r="D79" s="5"/>
      <c r="E79" s="5"/>
      <c r="F79" s="5"/>
      <c r="G79" s="5"/>
      <c r="H79" s="5"/>
      <c r="I79" s="5"/>
      <c r="J79" s="5"/>
      <c r="K79" s="5"/>
      <c r="L79" s="5">
        <f t="shared" si="2"/>
        <v>0</v>
      </c>
    </row>
    <row r="80" spans="4:12">
      <c r="D80" s="5"/>
      <c r="E80" s="5"/>
      <c r="F80" s="5"/>
      <c r="G80" s="5"/>
      <c r="H80" s="5"/>
      <c r="I80" s="5"/>
      <c r="J80" s="5"/>
      <c r="K80" s="5"/>
      <c r="L80" s="5">
        <f t="shared" si="2"/>
        <v>0</v>
      </c>
    </row>
    <row r="81" spans="4:12">
      <c r="D81" s="5"/>
      <c r="E81" s="5"/>
      <c r="F81" s="5"/>
      <c r="G81" s="5"/>
      <c r="H81" s="5"/>
      <c r="I81" s="5"/>
      <c r="J81" s="5"/>
      <c r="K81" s="5"/>
      <c r="L81" s="5">
        <f t="shared" si="2"/>
        <v>0</v>
      </c>
    </row>
    <row r="82" spans="4:12">
      <c r="D82" s="5"/>
      <c r="E82" s="5"/>
      <c r="F82" s="5"/>
      <c r="G82" s="5"/>
      <c r="H82" s="5"/>
      <c r="I82" s="5"/>
      <c r="J82" s="5"/>
      <c r="K82" s="5"/>
      <c r="L82" s="5">
        <f t="shared" si="2"/>
        <v>0</v>
      </c>
    </row>
    <row r="83" spans="4:12">
      <c r="D83" s="5"/>
      <c r="E83" s="5"/>
      <c r="F83" s="5"/>
      <c r="G83" s="5"/>
      <c r="H83" s="5"/>
      <c r="I83" s="5"/>
      <c r="J83" s="5"/>
      <c r="K83" s="5"/>
      <c r="L83" s="5">
        <f t="shared" si="2"/>
        <v>0</v>
      </c>
    </row>
    <row r="84" spans="4:12">
      <c r="D84" s="5"/>
      <c r="E84" s="5"/>
      <c r="F84" s="5"/>
      <c r="G84" s="5"/>
      <c r="H84" s="5"/>
      <c r="I84" s="5"/>
      <c r="J84" s="5"/>
      <c r="K84" s="5"/>
      <c r="L84" s="5">
        <f t="shared" si="2"/>
        <v>0</v>
      </c>
    </row>
    <row r="85" spans="4:12">
      <c r="D85" s="5"/>
      <c r="E85" s="5"/>
      <c r="F85" s="5"/>
      <c r="G85" s="5"/>
      <c r="H85" s="5"/>
      <c r="I85" s="5"/>
      <c r="J85" s="5"/>
      <c r="K85" s="5"/>
      <c r="L85" s="5">
        <f t="shared" si="2"/>
        <v>0</v>
      </c>
    </row>
    <row r="86" spans="4:12">
      <c r="D86" s="5"/>
      <c r="E86" s="5"/>
      <c r="F86" s="5"/>
      <c r="G86" s="5"/>
      <c r="H86" s="5"/>
      <c r="I86" s="5"/>
      <c r="J86" s="5"/>
      <c r="K86" s="5"/>
      <c r="L86" s="5">
        <f t="shared" si="2"/>
        <v>0</v>
      </c>
    </row>
    <row r="87" spans="4:12">
      <c r="D87" s="5"/>
      <c r="E87" s="5"/>
      <c r="F87" s="5"/>
      <c r="G87" s="5"/>
      <c r="H87" s="5"/>
      <c r="I87" s="5"/>
      <c r="J87" s="5"/>
      <c r="K87" s="5"/>
      <c r="L87" s="5">
        <f t="shared" si="2"/>
        <v>0</v>
      </c>
    </row>
    <row r="88" spans="4:12">
      <c r="D88" s="5"/>
      <c r="E88" s="5"/>
      <c r="F88" s="5"/>
      <c r="G88" s="5"/>
      <c r="H88" s="5"/>
      <c r="I88" s="5"/>
      <c r="J88" s="5"/>
      <c r="K88" s="5"/>
      <c r="L88" s="5">
        <f t="shared" si="2"/>
        <v>0</v>
      </c>
    </row>
    <row r="89" spans="4:12">
      <c r="D89" s="5"/>
      <c r="E89" s="5"/>
      <c r="F89" s="5"/>
      <c r="G89" s="5"/>
      <c r="H89" s="5"/>
      <c r="I89" s="5"/>
      <c r="J89" s="5"/>
      <c r="K89" s="5"/>
      <c r="L89" s="5">
        <f t="shared" si="2"/>
        <v>0</v>
      </c>
    </row>
    <row r="90" spans="4:12">
      <c r="D90" s="5"/>
      <c r="E90" s="5"/>
      <c r="F90" s="5"/>
      <c r="G90" s="5"/>
      <c r="H90" s="5"/>
      <c r="I90" s="5"/>
      <c r="J90" s="5"/>
      <c r="K90" s="5"/>
      <c r="L90" s="5">
        <f t="shared" si="2"/>
        <v>0</v>
      </c>
    </row>
    <row r="91" spans="4:12">
      <c r="D91" s="5"/>
      <c r="E91" s="5"/>
      <c r="F91" s="5"/>
      <c r="G91" s="5"/>
      <c r="H91" s="5"/>
      <c r="I91" s="5"/>
      <c r="J91" s="5"/>
      <c r="K91" s="5"/>
      <c r="L91" s="5">
        <f t="shared" si="2"/>
        <v>0</v>
      </c>
    </row>
    <row r="92" spans="4:12">
      <c r="D92" s="5"/>
      <c r="E92" s="5"/>
      <c r="F92" s="5"/>
      <c r="G92" s="5"/>
      <c r="H92" s="5"/>
      <c r="I92" s="5"/>
      <c r="J92" s="5"/>
      <c r="K92" s="5"/>
      <c r="L92" s="5">
        <f t="shared" si="2"/>
        <v>0</v>
      </c>
    </row>
    <row r="93" spans="4:12">
      <c r="D93" s="5"/>
      <c r="E93" s="5"/>
      <c r="F93" s="5"/>
      <c r="G93" s="5"/>
      <c r="H93" s="5"/>
      <c r="I93" s="5"/>
      <c r="J93" s="5"/>
      <c r="K93" s="5"/>
      <c r="L93" s="5">
        <f t="shared" si="2"/>
        <v>0</v>
      </c>
    </row>
    <row r="94" spans="4:12">
      <c r="D94" s="5"/>
      <c r="E94" s="5"/>
      <c r="F94" s="5"/>
      <c r="G94" s="5"/>
      <c r="H94" s="5"/>
      <c r="I94" s="5"/>
      <c r="J94" s="5"/>
      <c r="K94" s="5"/>
      <c r="L94" s="5">
        <f t="shared" si="2"/>
        <v>0</v>
      </c>
    </row>
    <row r="95" spans="4:12">
      <c r="D95" s="5"/>
      <c r="E95" s="5"/>
      <c r="F95" s="5"/>
      <c r="G95" s="5"/>
      <c r="H95" s="5"/>
      <c r="I95" s="5"/>
      <c r="J95" s="5"/>
      <c r="K95" s="5"/>
      <c r="L95" s="5">
        <f t="shared" si="2"/>
        <v>0</v>
      </c>
    </row>
    <row r="96" spans="4:12">
      <c r="D96" s="5"/>
      <c r="E96" s="5"/>
      <c r="F96" s="5"/>
      <c r="G96" s="5"/>
      <c r="H96" s="5"/>
      <c r="I96" s="5"/>
      <c r="J96" s="5"/>
      <c r="K96" s="5"/>
      <c r="L96" s="5">
        <f t="shared" si="2"/>
        <v>0</v>
      </c>
    </row>
    <row r="97" spans="4:12">
      <c r="D97" s="5"/>
      <c r="E97" s="5"/>
      <c r="F97" s="5"/>
      <c r="G97" s="5"/>
      <c r="H97" s="5"/>
      <c r="I97" s="5"/>
      <c r="J97" s="5"/>
      <c r="K97" s="5"/>
      <c r="L97" s="5">
        <f t="shared" si="2"/>
        <v>0</v>
      </c>
    </row>
    <row r="98" spans="4:12">
      <c r="D98" s="5"/>
      <c r="E98" s="5"/>
      <c r="F98" s="5"/>
      <c r="G98" s="5"/>
      <c r="H98" s="5"/>
      <c r="I98" s="5"/>
      <c r="J98" s="5"/>
      <c r="K98" s="5"/>
      <c r="L98" s="5">
        <f t="shared" ref="L98:L129" si="3">MAX(0,J98-K98)</f>
        <v>0</v>
      </c>
    </row>
    <row r="99" spans="4:12">
      <c r="D99" s="5"/>
      <c r="E99" s="5"/>
      <c r="F99" s="5"/>
      <c r="G99" s="5"/>
      <c r="H99" s="5"/>
      <c r="I99" s="5"/>
      <c r="J99" s="5"/>
      <c r="K99" s="5"/>
      <c r="L99" s="5">
        <f t="shared" si="3"/>
        <v>0</v>
      </c>
    </row>
    <row r="100" spans="4:12">
      <c r="D100" s="5"/>
      <c r="E100" s="5"/>
      <c r="F100" s="5"/>
      <c r="G100" s="5"/>
      <c r="H100" s="5"/>
      <c r="I100" s="5"/>
      <c r="J100" s="5"/>
      <c r="K100" s="5"/>
      <c r="L100" s="5">
        <f t="shared" si="3"/>
        <v>0</v>
      </c>
    </row>
    <row r="101" spans="4:12">
      <c r="D101" s="5"/>
      <c r="E101" s="5"/>
      <c r="F101" s="5"/>
      <c r="G101" s="5"/>
      <c r="H101" s="5"/>
      <c r="I101" s="5"/>
      <c r="J101" s="5"/>
      <c r="K101" s="5"/>
      <c r="L101" s="5">
        <f t="shared" si="3"/>
        <v>0</v>
      </c>
    </row>
    <row r="102" spans="4:12">
      <c r="D102" s="5"/>
      <c r="E102" s="5"/>
      <c r="F102" s="5"/>
      <c r="G102" s="5"/>
      <c r="H102" s="5"/>
      <c r="I102" s="5"/>
      <c r="J102" s="5"/>
      <c r="K102" s="5"/>
      <c r="L102" s="5">
        <f t="shared" si="3"/>
        <v>0</v>
      </c>
    </row>
    <row r="103" spans="4:12">
      <c r="D103" s="5"/>
      <c r="E103" s="5"/>
      <c r="F103" s="5"/>
      <c r="G103" s="5"/>
      <c r="H103" s="5"/>
      <c r="I103" s="5"/>
      <c r="J103" s="5"/>
      <c r="K103" s="5"/>
      <c r="L103" s="5">
        <f t="shared" si="3"/>
        <v>0</v>
      </c>
    </row>
    <row r="104" spans="4:12">
      <c r="D104" s="5"/>
      <c r="E104" s="5"/>
      <c r="F104" s="5"/>
      <c r="G104" s="5"/>
      <c r="H104" s="5"/>
      <c r="I104" s="5"/>
      <c r="J104" s="5"/>
      <c r="K104" s="5"/>
      <c r="L104" s="5">
        <f t="shared" si="3"/>
        <v>0</v>
      </c>
    </row>
    <row r="105" spans="4:12">
      <c r="D105" s="5"/>
      <c r="E105" s="5"/>
      <c r="F105" s="5"/>
      <c r="G105" s="5"/>
      <c r="H105" s="5"/>
      <c r="I105" s="5"/>
      <c r="J105" s="5"/>
      <c r="K105" s="5"/>
      <c r="L105" s="5">
        <f t="shared" si="3"/>
        <v>0</v>
      </c>
    </row>
    <row r="106" spans="4:12">
      <c r="D106" s="5"/>
      <c r="E106" s="5"/>
      <c r="F106" s="5"/>
      <c r="G106" s="5"/>
      <c r="H106" s="5"/>
      <c r="I106" s="5"/>
      <c r="J106" s="5"/>
      <c r="K106" s="5"/>
      <c r="L106" s="5">
        <f t="shared" si="3"/>
        <v>0</v>
      </c>
    </row>
    <row r="107" spans="4:12">
      <c r="D107" s="5"/>
      <c r="E107" s="5"/>
      <c r="F107" s="5"/>
      <c r="G107" s="5"/>
      <c r="H107" s="5"/>
      <c r="I107" s="5"/>
      <c r="J107" s="5"/>
      <c r="K107" s="5"/>
      <c r="L107" s="5">
        <f t="shared" si="3"/>
        <v>0</v>
      </c>
    </row>
    <row r="108" spans="4:12">
      <c r="D108" s="5"/>
      <c r="E108" s="5"/>
      <c r="F108" s="5"/>
      <c r="G108" s="5"/>
      <c r="H108" s="5"/>
      <c r="I108" s="5"/>
      <c r="J108" s="5"/>
      <c r="K108" s="5"/>
      <c r="L108" s="5">
        <f t="shared" si="3"/>
        <v>0</v>
      </c>
    </row>
    <row r="109" spans="4:12">
      <c r="D109" s="5"/>
      <c r="E109" s="5"/>
      <c r="F109" s="5"/>
      <c r="G109" s="5"/>
      <c r="H109" s="5"/>
      <c r="I109" s="5"/>
      <c r="J109" s="5"/>
      <c r="K109" s="5"/>
      <c r="L109" s="5">
        <f t="shared" si="3"/>
        <v>0</v>
      </c>
    </row>
    <row r="110" spans="4:12">
      <c r="D110" s="5"/>
      <c r="E110" s="5"/>
      <c r="F110" s="5"/>
      <c r="G110" s="5"/>
      <c r="H110" s="5"/>
      <c r="I110" s="5"/>
      <c r="J110" s="5"/>
      <c r="K110" s="5"/>
      <c r="L110" s="5">
        <f t="shared" si="3"/>
        <v>0</v>
      </c>
    </row>
    <row r="111" spans="4:12">
      <c r="D111" s="5"/>
      <c r="E111" s="5"/>
      <c r="F111" s="5"/>
      <c r="G111" s="5"/>
      <c r="H111" s="5"/>
      <c r="I111" s="5"/>
      <c r="J111" s="5"/>
      <c r="K111" s="5"/>
      <c r="L111" s="5">
        <f t="shared" si="3"/>
        <v>0</v>
      </c>
    </row>
    <row r="112" spans="4:12">
      <c r="D112" s="5"/>
      <c r="E112" s="5"/>
      <c r="F112" s="5"/>
      <c r="G112" s="5"/>
      <c r="H112" s="5"/>
      <c r="I112" s="5"/>
      <c r="J112" s="5"/>
      <c r="K112" s="5"/>
      <c r="L112" s="5">
        <f t="shared" si="3"/>
        <v>0</v>
      </c>
    </row>
    <row r="113" spans="4:12">
      <c r="D113" s="5"/>
      <c r="E113" s="5"/>
      <c r="F113" s="5"/>
      <c r="G113" s="5"/>
      <c r="H113" s="5"/>
      <c r="I113" s="5"/>
      <c r="J113" s="5"/>
      <c r="K113" s="5"/>
      <c r="L113" s="5">
        <f t="shared" si="3"/>
        <v>0</v>
      </c>
    </row>
    <row r="114" spans="4:12">
      <c r="D114" s="5"/>
      <c r="E114" s="5"/>
      <c r="F114" s="5"/>
      <c r="G114" s="5"/>
      <c r="H114" s="5"/>
      <c r="I114" s="5"/>
      <c r="J114" s="5"/>
      <c r="K114" s="5"/>
      <c r="L114" s="5">
        <f t="shared" si="3"/>
        <v>0</v>
      </c>
    </row>
    <row r="115" spans="4:12">
      <c r="D115" s="5"/>
      <c r="E115" s="5"/>
      <c r="F115" s="5"/>
      <c r="G115" s="5"/>
      <c r="H115" s="5"/>
      <c r="I115" s="5"/>
      <c r="J115" s="5"/>
      <c r="K115" s="5"/>
      <c r="L115" s="5">
        <f t="shared" si="3"/>
        <v>0</v>
      </c>
    </row>
    <row r="116" spans="4:12">
      <c r="D116" s="5"/>
      <c r="E116" s="5"/>
      <c r="F116" s="5"/>
      <c r="G116" s="5"/>
      <c r="H116" s="5"/>
      <c r="I116" s="5"/>
      <c r="J116" s="5"/>
      <c r="K116" s="5"/>
      <c r="L116" s="5">
        <f t="shared" si="3"/>
        <v>0</v>
      </c>
    </row>
    <row r="117" spans="4:12">
      <c r="D117" s="5"/>
      <c r="E117" s="5"/>
      <c r="F117" s="5"/>
      <c r="G117" s="5"/>
      <c r="H117" s="5"/>
      <c r="I117" s="5"/>
      <c r="J117" s="5"/>
      <c r="K117" s="5"/>
      <c r="L117" s="5">
        <f t="shared" si="3"/>
        <v>0</v>
      </c>
    </row>
    <row r="118" spans="4:12">
      <c r="D118" s="5"/>
      <c r="E118" s="5"/>
      <c r="F118" s="5"/>
      <c r="G118" s="5"/>
      <c r="H118" s="5"/>
      <c r="I118" s="5"/>
      <c r="J118" s="5"/>
      <c r="K118" s="5"/>
      <c r="L118" s="5">
        <f t="shared" si="3"/>
        <v>0</v>
      </c>
    </row>
    <row r="119" spans="4:12">
      <c r="D119" s="5"/>
      <c r="E119" s="5"/>
      <c r="F119" s="5"/>
      <c r="G119" s="5"/>
      <c r="H119" s="5"/>
      <c r="I119" s="5"/>
      <c r="J119" s="5"/>
      <c r="K119" s="5"/>
      <c r="L119" s="5">
        <f t="shared" si="3"/>
        <v>0</v>
      </c>
    </row>
    <row r="120" spans="4:12">
      <c r="D120" s="5"/>
      <c r="E120" s="5"/>
      <c r="F120" s="5"/>
      <c r="G120" s="5"/>
      <c r="H120" s="5"/>
      <c r="I120" s="5"/>
      <c r="J120" s="5"/>
      <c r="K120" s="5"/>
      <c r="L120" s="5">
        <f t="shared" si="3"/>
        <v>0</v>
      </c>
    </row>
    <row r="121" spans="4:12">
      <c r="D121" s="5"/>
      <c r="E121" s="5"/>
      <c r="F121" s="5"/>
      <c r="G121" s="5"/>
      <c r="H121" s="5"/>
      <c r="I121" s="5"/>
      <c r="J121" s="5"/>
      <c r="K121" s="5"/>
      <c r="L121" s="5">
        <f t="shared" si="3"/>
        <v>0</v>
      </c>
    </row>
    <row r="122" spans="4:12">
      <c r="D122" s="5"/>
      <c r="E122" s="5"/>
      <c r="F122" s="5"/>
      <c r="G122" s="5"/>
      <c r="H122" s="5"/>
      <c r="I122" s="5"/>
      <c r="J122" s="5"/>
      <c r="K122" s="5"/>
      <c r="L122" s="5">
        <f t="shared" si="3"/>
        <v>0</v>
      </c>
    </row>
    <row r="123" spans="4:12">
      <c r="D123" s="5"/>
      <c r="E123" s="5"/>
      <c r="F123" s="5"/>
      <c r="G123" s="5"/>
      <c r="H123" s="5"/>
      <c r="I123" s="5"/>
      <c r="J123" s="5"/>
      <c r="K123" s="5"/>
      <c r="L123" s="5">
        <f t="shared" si="3"/>
        <v>0</v>
      </c>
    </row>
    <row r="124" spans="4:12">
      <c r="D124" s="5"/>
      <c r="E124" s="5"/>
      <c r="F124" s="5"/>
      <c r="G124" s="5"/>
      <c r="H124" s="5"/>
      <c r="I124" s="5"/>
      <c r="J124" s="5"/>
      <c r="K124" s="5"/>
      <c r="L124" s="5">
        <f t="shared" si="3"/>
        <v>0</v>
      </c>
    </row>
    <row r="125" spans="4:12">
      <c r="D125" s="5"/>
      <c r="E125" s="5"/>
      <c r="F125" s="5"/>
      <c r="G125" s="5"/>
      <c r="H125" s="5"/>
      <c r="I125" s="5"/>
      <c r="J125" s="5"/>
      <c r="K125" s="5"/>
      <c r="L125" s="5">
        <f t="shared" si="3"/>
        <v>0</v>
      </c>
    </row>
    <row r="126" spans="4:12">
      <c r="D126" s="5"/>
      <c r="E126" s="5"/>
      <c r="F126" s="5"/>
      <c r="G126" s="5"/>
      <c r="H126" s="5"/>
      <c r="I126" s="5"/>
      <c r="J126" s="5"/>
      <c r="K126" s="5"/>
      <c r="L126" s="5">
        <f t="shared" si="3"/>
        <v>0</v>
      </c>
    </row>
    <row r="127" spans="4:12">
      <c r="D127" s="5"/>
      <c r="E127" s="5"/>
      <c r="F127" s="5"/>
      <c r="G127" s="5"/>
      <c r="H127" s="5"/>
      <c r="I127" s="5"/>
      <c r="J127" s="5"/>
      <c r="K127" s="5"/>
      <c r="L127" s="5">
        <f t="shared" si="3"/>
        <v>0</v>
      </c>
    </row>
    <row r="128" spans="4:12">
      <c r="D128" s="5"/>
      <c r="E128" s="5"/>
      <c r="F128" s="5"/>
      <c r="G128" s="5"/>
      <c r="H128" s="5"/>
      <c r="I128" s="5"/>
      <c r="J128" s="5"/>
      <c r="K128" s="5"/>
      <c r="L128" s="5">
        <f t="shared" si="3"/>
        <v>0</v>
      </c>
    </row>
    <row r="129" spans="4:12">
      <c r="D129" s="5"/>
      <c r="E129" s="5"/>
      <c r="F129" s="5"/>
      <c r="G129" s="5"/>
      <c r="H129" s="5"/>
      <c r="I129" s="5"/>
      <c r="J129" s="5"/>
      <c r="K129" s="5"/>
      <c r="L129" s="5">
        <f t="shared" si="3"/>
        <v>0</v>
      </c>
    </row>
    <row r="130" spans="4:12">
      <c r="D130" s="5"/>
      <c r="E130" s="5"/>
      <c r="F130" s="5"/>
      <c r="G130" s="5"/>
      <c r="H130" s="5"/>
      <c r="I130" s="5"/>
      <c r="J130" s="5"/>
      <c r="K130" s="5"/>
      <c r="L130" s="5">
        <f t="shared" ref="L130:L161" si="4">MAX(0,J130-K130)</f>
        <v>0</v>
      </c>
    </row>
    <row r="131" spans="4:12">
      <c r="D131" s="5"/>
      <c r="E131" s="5"/>
      <c r="F131" s="5"/>
      <c r="G131" s="5"/>
      <c r="H131" s="5"/>
      <c r="I131" s="5"/>
      <c r="J131" s="5"/>
      <c r="K131" s="5"/>
      <c r="L131" s="5">
        <f t="shared" si="4"/>
        <v>0</v>
      </c>
    </row>
    <row r="132" spans="4:12">
      <c r="D132" s="5"/>
      <c r="E132" s="5"/>
      <c r="F132" s="5"/>
      <c r="G132" s="5"/>
      <c r="H132" s="5"/>
      <c r="I132" s="5"/>
      <c r="J132" s="5"/>
      <c r="K132" s="5"/>
      <c r="L132" s="5">
        <f t="shared" si="4"/>
        <v>0</v>
      </c>
    </row>
    <row r="133" spans="4:12">
      <c r="D133" s="5"/>
      <c r="E133" s="5"/>
      <c r="F133" s="5"/>
      <c r="G133" s="5"/>
      <c r="H133" s="5"/>
      <c r="I133" s="5"/>
      <c r="J133" s="5"/>
      <c r="K133" s="5"/>
      <c r="L133" s="5">
        <f t="shared" si="4"/>
        <v>0</v>
      </c>
    </row>
    <row r="134" spans="4:12">
      <c r="D134" s="5"/>
      <c r="E134" s="5"/>
      <c r="F134" s="5"/>
      <c r="G134" s="5"/>
      <c r="H134" s="5"/>
      <c r="I134" s="5"/>
      <c r="J134" s="5"/>
      <c r="K134" s="5"/>
      <c r="L134" s="5">
        <f t="shared" si="4"/>
        <v>0</v>
      </c>
    </row>
    <row r="135" spans="4:12">
      <c r="D135" s="5"/>
      <c r="E135" s="5"/>
      <c r="F135" s="5"/>
      <c r="G135" s="5"/>
      <c r="H135" s="5"/>
      <c r="I135" s="5"/>
      <c r="J135" s="5"/>
      <c r="K135" s="5"/>
      <c r="L135" s="5">
        <f t="shared" si="4"/>
        <v>0</v>
      </c>
    </row>
    <row r="136" spans="4:12">
      <c r="D136" s="5"/>
      <c r="E136" s="5"/>
      <c r="F136" s="5"/>
      <c r="G136" s="5"/>
      <c r="H136" s="5"/>
      <c r="I136" s="5"/>
      <c r="J136" s="5"/>
      <c r="K136" s="5"/>
      <c r="L136" s="5">
        <f t="shared" si="4"/>
        <v>0</v>
      </c>
    </row>
    <row r="137" spans="4:12">
      <c r="D137" s="5"/>
      <c r="E137" s="5"/>
      <c r="F137" s="5"/>
      <c r="G137" s="5"/>
      <c r="H137" s="5"/>
      <c r="I137" s="5"/>
      <c r="J137" s="5"/>
      <c r="K137" s="5"/>
      <c r="L137" s="5">
        <f t="shared" si="4"/>
        <v>0</v>
      </c>
    </row>
    <row r="138" spans="4:12">
      <c r="D138" s="5"/>
      <c r="E138" s="5"/>
      <c r="F138" s="5"/>
      <c r="G138" s="5"/>
      <c r="H138" s="5"/>
      <c r="I138" s="5"/>
      <c r="J138" s="5"/>
      <c r="K138" s="5"/>
      <c r="L138" s="5">
        <f t="shared" si="4"/>
        <v>0</v>
      </c>
    </row>
    <row r="139" spans="4:12">
      <c r="D139" s="5"/>
      <c r="E139" s="5"/>
      <c r="F139" s="5"/>
      <c r="G139" s="5"/>
      <c r="H139" s="5"/>
      <c r="I139" s="5"/>
      <c r="J139" s="5"/>
      <c r="K139" s="5"/>
      <c r="L139" s="5">
        <f t="shared" si="4"/>
        <v>0</v>
      </c>
    </row>
    <row r="140" spans="4:12">
      <c r="D140" s="5"/>
      <c r="E140" s="5"/>
      <c r="F140" s="5"/>
      <c r="G140" s="5"/>
      <c r="H140" s="5"/>
      <c r="I140" s="5"/>
      <c r="J140" s="5"/>
      <c r="K140" s="5"/>
      <c r="L140" s="5">
        <f t="shared" si="4"/>
        <v>0</v>
      </c>
    </row>
    <row r="141" spans="4:12">
      <c r="D141" s="5"/>
      <c r="E141" s="5"/>
      <c r="F141" s="5"/>
      <c r="G141" s="5"/>
      <c r="H141" s="5"/>
      <c r="I141" s="5"/>
      <c r="J141" s="5"/>
      <c r="K141" s="5"/>
      <c r="L141" s="5">
        <f t="shared" si="4"/>
        <v>0</v>
      </c>
    </row>
    <row r="142" spans="4:12">
      <c r="D142" s="5"/>
      <c r="E142" s="5"/>
      <c r="F142" s="5"/>
      <c r="G142" s="5"/>
      <c r="H142" s="5"/>
      <c r="I142" s="5"/>
      <c r="J142" s="5"/>
      <c r="K142" s="5"/>
      <c r="L142" s="5">
        <f t="shared" si="4"/>
        <v>0</v>
      </c>
    </row>
    <row r="143" spans="4:12">
      <c r="D143" s="5"/>
      <c r="E143" s="5"/>
      <c r="F143" s="5"/>
      <c r="G143" s="5"/>
      <c r="H143" s="5"/>
      <c r="I143" s="5"/>
      <c r="J143" s="5"/>
      <c r="K143" s="5"/>
      <c r="L143" s="5">
        <f t="shared" si="4"/>
        <v>0</v>
      </c>
    </row>
    <row r="144" spans="4:12">
      <c r="D144" s="5"/>
      <c r="E144" s="5"/>
      <c r="F144" s="5"/>
      <c r="G144" s="5"/>
      <c r="H144" s="5"/>
      <c r="I144" s="5"/>
      <c r="J144" s="5"/>
      <c r="K144" s="5"/>
      <c r="L144" s="5">
        <f t="shared" si="4"/>
        <v>0</v>
      </c>
    </row>
    <row r="145" spans="4:12">
      <c r="D145" s="5"/>
      <c r="E145" s="5"/>
      <c r="F145" s="5"/>
      <c r="G145" s="5"/>
      <c r="H145" s="5"/>
      <c r="I145" s="5"/>
      <c r="J145" s="5"/>
      <c r="K145" s="5"/>
      <c r="L145" s="5">
        <f t="shared" si="4"/>
        <v>0</v>
      </c>
    </row>
    <row r="146" spans="4:12">
      <c r="D146" s="5"/>
      <c r="E146" s="5"/>
      <c r="F146" s="5"/>
      <c r="G146" s="5"/>
      <c r="H146" s="5"/>
      <c r="I146" s="5"/>
      <c r="J146" s="5"/>
      <c r="K146" s="5"/>
      <c r="L146" s="5">
        <f t="shared" si="4"/>
        <v>0</v>
      </c>
    </row>
    <row r="147" spans="4:12">
      <c r="D147" s="5"/>
      <c r="E147" s="5"/>
      <c r="F147" s="5"/>
      <c r="G147" s="5"/>
      <c r="H147" s="5"/>
      <c r="I147" s="5"/>
      <c r="J147" s="5"/>
      <c r="K147" s="5"/>
      <c r="L147" s="5">
        <f t="shared" si="4"/>
        <v>0</v>
      </c>
    </row>
    <row r="148" spans="4:12">
      <c r="D148" s="5"/>
      <c r="E148" s="5"/>
      <c r="F148" s="5"/>
      <c r="G148" s="5"/>
      <c r="H148" s="5"/>
      <c r="I148" s="5"/>
      <c r="J148" s="5"/>
      <c r="K148" s="5"/>
      <c r="L148" s="5">
        <f t="shared" si="4"/>
        <v>0</v>
      </c>
    </row>
    <row r="149" spans="4:12">
      <c r="D149" s="5"/>
      <c r="E149" s="5"/>
      <c r="F149" s="5"/>
      <c r="G149" s="5"/>
      <c r="H149" s="5"/>
      <c r="I149" s="5"/>
      <c r="J149" s="5"/>
      <c r="K149" s="5"/>
      <c r="L149" s="5">
        <f t="shared" si="4"/>
        <v>0</v>
      </c>
    </row>
    <row r="150" spans="4:12">
      <c r="D150" s="5"/>
      <c r="E150" s="5"/>
      <c r="F150" s="5"/>
      <c r="G150" s="5"/>
      <c r="H150" s="5"/>
      <c r="I150" s="5"/>
      <c r="J150" s="5"/>
      <c r="K150" s="5"/>
      <c r="L150" s="5">
        <f t="shared" si="4"/>
        <v>0</v>
      </c>
    </row>
    <row r="151" spans="4:12">
      <c r="D151" s="5"/>
      <c r="E151" s="5"/>
      <c r="F151" s="5"/>
      <c r="G151" s="5"/>
      <c r="H151" s="5"/>
      <c r="I151" s="5"/>
      <c r="J151" s="5"/>
      <c r="K151" s="5"/>
      <c r="L151" s="5">
        <f t="shared" si="4"/>
        <v>0</v>
      </c>
    </row>
    <row r="152" spans="4:12">
      <c r="D152" s="5"/>
      <c r="E152" s="5"/>
      <c r="F152" s="5"/>
      <c r="G152" s="5"/>
      <c r="H152" s="5"/>
      <c r="I152" s="5"/>
      <c r="J152" s="5"/>
      <c r="K152" s="5"/>
      <c r="L152" s="5">
        <f t="shared" si="4"/>
        <v>0</v>
      </c>
    </row>
    <row r="153" spans="4:12">
      <c r="D153" s="5"/>
      <c r="E153" s="5"/>
      <c r="F153" s="5"/>
      <c r="G153" s="5"/>
      <c r="H153" s="5"/>
      <c r="I153" s="5"/>
      <c r="J153" s="5"/>
      <c r="K153" s="5"/>
      <c r="L153" s="5">
        <f t="shared" si="4"/>
        <v>0</v>
      </c>
    </row>
    <row r="154" spans="4:12">
      <c r="D154" s="5"/>
      <c r="E154" s="5"/>
      <c r="F154" s="5"/>
      <c r="G154" s="5"/>
      <c r="H154" s="5"/>
      <c r="I154" s="5"/>
      <c r="J154" s="5"/>
      <c r="K154" s="5"/>
      <c r="L154" s="5">
        <f t="shared" si="4"/>
        <v>0</v>
      </c>
    </row>
    <row r="155" spans="4:12">
      <c r="D155" s="5"/>
      <c r="E155" s="5"/>
      <c r="F155" s="5"/>
      <c r="G155" s="5"/>
      <c r="H155" s="5"/>
      <c r="I155" s="5"/>
      <c r="J155" s="5"/>
      <c r="K155" s="5"/>
      <c r="L155" s="5">
        <f t="shared" si="4"/>
        <v>0</v>
      </c>
    </row>
    <row r="156" spans="4:12">
      <c r="D156" s="5"/>
      <c r="E156" s="5"/>
      <c r="F156" s="5"/>
      <c r="G156" s="5"/>
      <c r="H156" s="5"/>
      <c r="I156" s="5"/>
      <c r="J156" s="5"/>
      <c r="K156" s="5"/>
      <c r="L156" s="5">
        <f t="shared" si="4"/>
        <v>0</v>
      </c>
    </row>
    <row r="157" spans="4:12">
      <c r="D157" s="5"/>
      <c r="E157" s="5"/>
      <c r="F157" s="5"/>
      <c r="G157" s="5"/>
      <c r="H157" s="5"/>
      <c r="I157" s="5"/>
      <c r="J157" s="5"/>
      <c r="K157" s="5"/>
      <c r="L157" s="5">
        <f t="shared" si="4"/>
        <v>0</v>
      </c>
    </row>
    <row r="158" spans="4:12">
      <c r="D158" s="5"/>
      <c r="E158" s="5"/>
      <c r="F158" s="5"/>
      <c r="G158" s="5"/>
      <c r="H158" s="5"/>
      <c r="I158" s="5"/>
      <c r="J158" s="5"/>
      <c r="K158" s="5"/>
      <c r="L158" s="5">
        <f t="shared" si="4"/>
        <v>0</v>
      </c>
    </row>
    <row r="159" spans="4:12">
      <c r="D159" s="5"/>
      <c r="E159" s="5"/>
      <c r="F159" s="5"/>
      <c r="G159" s="5"/>
      <c r="H159" s="5"/>
      <c r="I159" s="5"/>
      <c r="J159" s="5"/>
      <c r="K159" s="5"/>
      <c r="L159" s="5">
        <f t="shared" si="4"/>
        <v>0</v>
      </c>
    </row>
    <row r="160" spans="4:12">
      <c r="D160" s="5"/>
      <c r="E160" s="5"/>
      <c r="F160" s="5"/>
      <c r="G160" s="5"/>
      <c r="H160" s="5"/>
      <c r="I160" s="5"/>
      <c r="J160" s="5"/>
      <c r="K160" s="5"/>
      <c r="L160" s="5">
        <f t="shared" si="4"/>
        <v>0</v>
      </c>
    </row>
    <row r="161" spans="4:12">
      <c r="D161" s="5"/>
      <c r="E161" s="5"/>
      <c r="F161" s="5"/>
      <c r="G161" s="5"/>
      <c r="H161" s="5"/>
      <c r="I161" s="5"/>
      <c r="J161" s="5"/>
      <c r="K161" s="5"/>
      <c r="L161" s="5">
        <f t="shared" si="4"/>
        <v>0</v>
      </c>
    </row>
    <row r="162" spans="4:12">
      <c r="D162" s="5"/>
      <c r="E162" s="5"/>
      <c r="F162" s="5"/>
      <c r="G162" s="5"/>
      <c r="H162" s="5"/>
      <c r="I162" s="5"/>
      <c r="J162" s="5"/>
      <c r="K162" s="5"/>
      <c r="L162" s="5">
        <f t="shared" ref="L162:L193" si="5">MAX(0,J162-K162)</f>
        <v>0</v>
      </c>
    </row>
    <row r="163" spans="4:12">
      <c r="D163" s="5"/>
      <c r="E163" s="5"/>
      <c r="F163" s="5"/>
      <c r="G163" s="5"/>
      <c r="H163" s="5"/>
      <c r="I163" s="5"/>
      <c r="J163" s="5"/>
      <c r="K163" s="5"/>
      <c r="L163" s="5">
        <f t="shared" si="5"/>
        <v>0</v>
      </c>
    </row>
    <row r="164" spans="4:12">
      <c r="D164" s="5"/>
      <c r="E164" s="5"/>
      <c r="F164" s="5"/>
      <c r="G164" s="5"/>
      <c r="H164" s="5"/>
      <c r="I164" s="5"/>
      <c r="J164" s="5"/>
      <c r="K164" s="5"/>
      <c r="L164" s="5">
        <f t="shared" si="5"/>
        <v>0</v>
      </c>
    </row>
    <row r="165" spans="4:12">
      <c r="D165" s="5"/>
      <c r="E165" s="5"/>
      <c r="F165" s="5"/>
      <c r="G165" s="5"/>
      <c r="H165" s="5"/>
      <c r="I165" s="5"/>
      <c r="J165" s="5"/>
      <c r="K165" s="5"/>
      <c r="L165" s="5">
        <f t="shared" si="5"/>
        <v>0</v>
      </c>
    </row>
    <row r="166" spans="4:12">
      <c r="D166" s="5"/>
      <c r="E166" s="5"/>
      <c r="F166" s="5"/>
      <c r="G166" s="5"/>
      <c r="H166" s="5"/>
      <c r="I166" s="5"/>
      <c r="J166" s="5"/>
      <c r="K166" s="5"/>
      <c r="L166" s="5">
        <f t="shared" si="5"/>
        <v>0</v>
      </c>
    </row>
    <row r="167" spans="4:12">
      <c r="D167" s="5"/>
      <c r="E167" s="5"/>
      <c r="F167" s="5"/>
      <c r="G167" s="5"/>
      <c r="H167" s="5"/>
      <c r="I167" s="5"/>
      <c r="J167" s="5"/>
      <c r="K167" s="5"/>
      <c r="L167" s="5">
        <f t="shared" si="5"/>
        <v>0</v>
      </c>
    </row>
    <row r="168" spans="4:12">
      <c r="D168" s="5"/>
      <c r="E168" s="5"/>
      <c r="F168" s="5"/>
      <c r="G168" s="5"/>
      <c r="H168" s="5"/>
      <c r="I168" s="5"/>
      <c r="J168" s="5"/>
      <c r="K168" s="5"/>
      <c r="L168" s="5">
        <f t="shared" si="5"/>
        <v>0</v>
      </c>
    </row>
    <row r="169" spans="4:12">
      <c r="D169" s="5"/>
      <c r="E169" s="5"/>
      <c r="F169" s="5"/>
      <c r="G169" s="5"/>
      <c r="H169" s="5"/>
      <c r="I169" s="5"/>
      <c r="J169" s="5"/>
      <c r="K169" s="5"/>
      <c r="L169" s="5">
        <f t="shared" si="5"/>
        <v>0</v>
      </c>
    </row>
    <row r="170" spans="4:12">
      <c r="D170" s="5"/>
      <c r="E170" s="5"/>
      <c r="F170" s="5"/>
      <c r="G170" s="5"/>
      <c r="H170" s="5"/>
      <c r="I170" s="5"/>
      <c r="J170" s="5"/>
      <c r="K170" s="5"/>
      <c r="L170" s="5">
        <f t="shared" si="5"/>
        <v>0</v>
      </c>
    </row>
    <row r="171" spans="4:12">
      <c r="D171" s="5"/>
      <c r="E171" s="5"/>
      <c r="F171" s="5"/>
      <c r="G171" s="5"/>
      <c r="H171" s="5"/>
      <c r="I171" s="5"/>
      <c r="J171" s="5"/>
      <c r="K171" s="5"/>
      <c r="L171" s="5">
        <f t="shared" si="5"/>
        <v>0</v>
      </c>
    </row>
    <row r="172" spans="4:12">
      <c r="D172" s="5"/>
      <c r="E172" s="5"/>
      <c r="F172" s="5"/>
      <c r="G172" s="5"/>
      <c r="H172" s="5"/>
      <c r="I172" s="5"/>
      <c r="J172" s="5"/>
      <c r="K172" s="5"/>
      <c r="L172" s="5">
        <f t="shared" si="5"/>
        <v>0</v>
      </c>
    </row>
    <row r="173" spans="4:12">
      <c r="D173" s="5"/>
      <c r="E173" s="5"/>
      <c r="F173" s="5"/>
      <c r="G173" s="5"/>
      <c r="H173" s="5"/>
      <c r="I173" s="5"/>
      <c r="J173" s="5"/>
      <c r="K173" s="5"/>
      <c r="L173" s="5">
        <f t="shared" si="5"/>
        <v>0</v>
      </c>
    </row>
    <row r="174" spans="4:12">
      <c r="D174" s="5"/>
      <c r="E174" s="5"/>
      <c r="F174" s="5"/>
      <c r="G174" s="5"/>
      <c r="H174" s="5"/>
      <c r="I174" s="5"/>
      <c r="J174" s="5"/>
      <c r="K174" s="5"/>
      <c r="L174" s="5">
        <f t="shared" si="5"/>
        <v>0</v>
      </c>
    </row>
    <row r="175" spans="4:12">
      <c r="D175" s="5"/>
      <c r="E175" s="5"/>
      <c r="F175" s="5"/>
      <c r="G175" s="5"/>
      <c r="H175" s="5"/>
      <c r="I175" s="5"/>
      <c r="J175" s="5"/>
      <c r="K175" s="5"/>
      <c r="L175" s="5">
        <f t="shared" si="5"/>
        <v>0</v>
      </c>
    </row>
    <row r="176" spans="4:12">
      <c r="D176" s="5"/>
      <c r="E176" s="5"/>
      <c r="F176" s="5"/>
      <c r="G176" s="5"/>
      <c r="H176" s="5"/>
      <c r="I176" s="5"/>
      <c r="J176" s="5"/>
      <c r="K176" s="5"/>
      <c r="L176" s="5">
        <f t="shared" si="5"/>
        <v>0</v>
      </c>
    </row>
    <row r="177" spans="4:12">
      <c r="D177" s="5"/>
      <c r="E177" s="5"/>
      <c r="F177" s="5"/>
      <c r="G177" s="5"/>
      <c r="H177" s="5"/>
      <c r="I177" s="5"/>
      <c r="J177" s="5"/>
      <c r="K177" s="5"/>
      <c r="L177" s="5">
        <f t="shared" si="5"/>
        <v>0</v>
      </c>
    </row>
    <row r="178" spans="4:12">
      <c r="D178" s="5"/>
      <c r="E178" s="5"/>
      <c r="F178" s="5"/>
      <c r="G178" s="5"/>
      <c r="H178" s="5"/>
      <c r="I178" s="5"/>
      <c r="J178" s="5"/>
      <c r="K178" s="5"/>
      <c r="L178" s="5">
        <f t="shared" si="5"/>
        <v>0</v>
      </c>
    </row>
    <row r="179" spans="4:12">
      <c r="D179" s="5"/>
      <c r="E179" s="5"/>
      <c r="F179" s="5"/>
      <c r="G179" s="5"/>
      <c r="H179" s="5"/>
      <c r="I179" s="5"/>
      <c r="J179" s="5"/>
      <c r="K179" s="5"/>
      <c r="L179" s="5">
        <f t="shared" si="5"/>
        <v>0</v>
      </c>
    </row>
    <row r="180" spans="4:12">
      <c r="D180" s="5"/>
      <c r="E180" s="5"/>
      <c r="F180" s="5"/>
      <c r="G180" s="5"/>
      <c r="H180" s="5"/>
      <c r="I180" s="5"/>
      <c r="J180" s="5"/>
      <c r="K180" s="5"/>
      <c r="L180" s="5">
        <f t="shared" si="5"/>
        <v>0</v>
      </c>
    </row>
    <row r="181" spans="4:12">
      <c r="D181" s="5"/>
      <c r="E181" s="5"/>
      <c r="F181" s="5"/>
      <c r="G181" s="5"/>
      <c r="H181" s="5"/>
      <c r="I181" s="5"/>
      <c r="J181" s="5"/>
      <c r="K181" s="5"/>
      <c r="L181" s="5">
        <f t="shared" si="5"/>
        <v>0</v>
      </c>
    </row>
    <row r="182" spans="4:12">
      <c r="D182" s="5"/>
      <c r="E182" s="5"/>
      <c r="F182" s="5"/>
      <c r="G182" s="5"/>
      <c r="H182" s="5"/>
      <c r="I182" s="5"/>
      <c r="J182" s="5"/>
      <c r="K182" s="5"/>
      <c r="L182" s="5">
        <f t="shared" si="5"/>
        <v>0</v>
      </c>
    </row>
    <row r="183" spans="4:12">
      <c r="D183" s="5"/>
      <c r="E183" s="5"/>
      <c r="F183" s="5"/>
      <c r="G183" s="5"/>
      <c r="H183" s="5"/>
      <c r="I183" s="5"/>
      <c r="J183" s="5"/>
      <c r="K183" s="5"/>
      <c r="L183" s="5">
        <f t="shared" si="5"/>
        <v>0</v>
      </c>
    </row>
    <row r="184" spans="4:12">
      <c r="D184" s="5"/>
      <c r="E184" s="5"/>
      <c r="F184" s="5"/>
      <c r="G184" s="5"/>
      <c r="H184" s="5"/>
      <c r="I184" s="5"/>
      <c r="J184" s="5"/>
      <c r="K184" s="5"/>
      <c r="L184" s="5">
        <f t="shared" si="5"/>
        <v>0</v>
      </c>
    </row>
    <row r="185" spans="4:12">
      <c r="D185" s="5"/>
      <c r="E185" s="5"/>
      <c r="F185" s="5"/>
      <c r="G185" s="5"/>
      <c r="H185" s="5"/>
      <c r="I185" s="5"/>
      <c r="J185" s="5"/>
      <c r="K185" s="5"/>
      <c r="L185" s="5">
        <f t="shared" si="5"/>
        <v>0</v>
      </c>
    </row>
    <row r="186" spans="4:12">
      <c r="D186" s="5"/>
      <c r="E186" s="5"/>
      <c r="F186" s="5"/>
      <c r="G186" s="5"/>
      <c r="H186" s="5"/>
      <c r="I186" s="5"/>
      <c r="J186" s="5"/>
      <c r="K186" s="5"/>
      <c r="L186" s="5">
        <f t="shared" si="5"/>
        <v>0</v>
      </c>
    </row>
    <row r="187" spans="4:12">
      <c r="D187" s="5"/>
      <c r="E187" s="5"/>
      <c r="F187" s="5"/>
      <c r="G187" s="5"/>
      <c r="H187" s="5"/>
      <c r="I187" s="5"/>
      <c r="J187" s="5"/>
      <c r="K187" s="5"/>
      <c r="L187" s="5">
        <f t="shared" si="5"/>
        <v>0</v>
      </c>
    </row>
    <row r="188" spans="4:12">
      <c r="D188" s="5"/>
      <c r="E188" s="5"/>
      <c r="F188" s="5"/>
      <c r="G188" s="5"/>
      <c r="H188" s="5"/>
      <c r="I188" s="5"/>
      <c r="J188" s="5"/>
      <c r="K188" s="5"/>
      <c r="L188" s="5">
        <f t="shared" si="5"/>
        <v>0</v>
      </c>
    </row>
    <row r="189" spans="4:12">
      <c r="D189" s="5"/>
      <c r="E189" s="5"/>
      <c r="F189" s="5"/>
      <c r="G189" s="5"/>
      <c r="H189" s="5"/>
      <c r="I189" s="5"/>
      <c r="J189" s="5"/>
      <c r="K189" s="5"/>
      <c r="L189" s="5">
        <f t="shared" si="5"/>
        <v>0</v>
      </c>
    </row>
    <row r="190" spans="4:12">
      <c r="D190" s="5"/>
      <c r="E190" s="5"/>
      <c r="F190" s="5"/>
      <c r="G190" s="5"/>
      <c r="H190" s="5"/>
      <c r="I190" s="5"/>
      <c r="J190" s="5"/>
      <c r="K190" s="5"/>
      <c r="L190" s="5">
        <f t="shared" si="5"/>
        <v>0</v>
      </c>
    </row>
    <row r="191" spans="4:12">
      <c r="D191" s="5"/>
      <c r="E191" s="5"/>
      <c r="F191" s="5"/>
      <c r="G191" s="5"/>
      <c r="H191" s="5"/>
      <c r="I191" s="5"/>
      <c r="J191" s="5"/>
      <c r="K191" s="5"/>
      <c r="L191" s="5">
        <f t="shared" si="5"/>
        <v>0</v>
      </c>
    </row>
    <row r="192" spans="4:12">
      <c r="D192" s="5"/>
      <c r="E192" s="5"/>
      <c r="F192" s="5"/>
      <c r="G192" s="5"/>
      <c r="H192" s="5"/>
      <c r="I192" s="5"/>
      <c r="J192" s="5"/>
      <c r="K192" s="5"/>
      <c r="L192" s="5">
        <f t="shared" si="5"/>
        <v>0</v>
      </c>
    </row>
    <row r="193" spans="4:12">
      <c r="D193" s="5"/>
      <c r="E193" s="5"/>
      <c r="F193" s="5"/>
      <c r="G193" s="5"/>
      <c r="H193" s="5"/>
      <c r="I193" s="5"/>
      <c r="J193" s="5"/>
      <c r="K193" s="5"/>
      <c r="L193" s="5">
        <f t="shared" si="5"/>
        <v>0</v>
      </c>
    </row>
    <row r="194" spans="4:12">
      <c r="D194" s="5"/>
      <c r="E194" s="5"/>
      <c r="F194" s="5"/>
      <c r="G194" s="5"/>
      <c r="H194" s="5"/>
      <c r="I194" s="5"/>
      <c r="J194" s="5"/>
      <c r="K194" s="5"/>
      <c r="L194" s="5">
        <f t="shared" ref="L194:L225" si="6">MAX(0,J194-K194)</f>
        <v>0</v>
      </c>
    </row>
    <row r="195" spans="4:12">
      <c r="D195" s="5"/>
      <c r="E195" s="5"/>
      <c r="F195" s="5"/>
      <c r="G195" s="5"/>
      <c r="H195" s="5"/>
      <c r="I195" s="5"/>
      <c r="J195" s="5"/>
      <c r="K195" s="5"/>
      <c r="L195" s="5">
        <f t="shared" si="6"/>
        <v>0</v>
      </c>
    </row>
    <row r="196" spans="4:12">
      <c r="D196" s="5"/>
      <c r="E196" s="5"/>
      <c r="F196" s="5"/>
      <c r="G196" s="5"/>
      <c r="H196" s="5"/>
      <c r="I196" s="5"/>
      <c r="J196" s="5"/>
      <c r="K196" s="5"/>
      <c r="L196" s="5">
        <f t="shared" si="6"/>
        <v>0</v>
      </c>
    </row>
    <row r="197" spans="4:12">
      <c r="D197" s="5"/>
      <c r="E197" s="5"/>
      <c r="F197" s="5"/>
      <c r="G197" s="5"/>
      <c r="H197" s="5"/>
      <c r="I197" s="5"/>
      <c r="J197" s="5"/>
      <c r="K197" s="5"/>
      <c r="L197" s="5">
        <f t="shared" si="6"/>
        <v>0</v>
      </c>
    </row>
    <row r="198" spans="4:12">
      <c r="D198" s="5"/>
      <c r="E198" s="5"/>
      <c r="F198" s="5"/>
      <c r="G198" s="5"/>
      <c r="H198" s="5"/>
      <c r="I198" s="5"/>
      <c r="J198" s="5"/>
      <c r="K198" s="5"/>
      <c r="L198" s="5">
        <f t="shared" si="6"/>
        <v>0</v>
      </c>
    </row>
    <row r="199" spans="4:12">
      <c r="D199" s="5"/>
      <c r="E199" s="5"/>
      <c r="F199" s="5"/>
      <c r="G199" s="5"/>
      <c r="H199" s="5"/>
      <c r="I199" s="5"/>
      <c r="J199" s="5"/>
      <c r="K199" s="5"/>
      <c r="L199" s="5">
        <f t="shared" si="6"/>
        <v>0</v>
      </c>
    </row>
    <row r="200" spans="4:12">
      <c r="D200" s="5"/>
      <c r="E200" s="5"/>
      <c r="F200" s="5"/>
      <c r="G200" s="5"/>
      <c r="H200" s="5"/>
      <c r="I200" s="5"/>
      <c r="J200" s="5"/>
      <c r="K200" s="5"/>
      <c r="L200" s="5">
        <f t="shared" si="6"/>
        <v>0</v>
      </c>
    </row>
  </sheetData>
  <dataValidations count="1">
    <dataValidation type="list" sqref="M2:M200" xr:uid="{00000000-0002-0000-0A00-000000000000}">
      <formula1>"New Lead,Contacted,Inspection Scheduled,Quotation Issued,Agreement Sent,Agreement Signed,Deposit Received,Work Order Created,Scheduled,Confirmed,Packing,Loading,In Transit,Delivery,Completed,Closed,Pending,Open,Paid,Unpaid,Partial"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"/>
  <sheetViews>
    <sheetView workbookViewId="0"/>
  </sheetViews>
  <sheetFormatPr defaultRowHeight="14.25"/>
  <cols>
    <col min="1" max="13" width="18" customWidth="1"/>
    <col min="14" max="14" width="34" customWidth="1"/>
    <col min="15" max="15" width="18" customWidth="1"/>
    <col min="16" max="16" width="34" customWidth="1"/>
  </cols>
  <sheetData>
    <row r="1" spans="1:16" ht="30">
      <c r="A1" s="2" t="s">
        <v>600</v>
      </c>
      <c r="B1" s="2" t="s">
        <v>136</v>
      </c>
      <c r="C1" s="2" t="s">
        <v>138</v>
      </c>
      <c r="D1" s="2" t="s">
        <v>92</v>
      </c>
      <c r="E1" s="2" t="s">
        <v>601</v>
      </c>
      <c r="F1" s="2" t="s">
        <v>602</v>
      </c>
      <c r="G1" s="2" t="s">
        <v>142</v>
      </c>
      <c r="H1" s="2" t="s">
        <v>143</v>
      </c>
      <c r="I1" s="2" t="s">
        <v>603</v>
      </c>
      <c r="J1" s="2" t="s">
        <v>604</v>
      </c>
      <c r="K1" s="2" t="s">
        <v>605</v>
      </c>
      <c r="L1" s="2" t="s">
        <v>84</v>
      </c>
      <c r="M1" s="2" t="s">
        <v>147</v>
      </c>
      <c r="N1" s="2" t="s">
        <v>606</v>
      </c>
      <c r="O1" s="2" t="s">
        <v>607</v>
      </c>
      <c r="P1" s="2" t="s">
        <v>36</v>
      </c>
    </row>
    <row r="2" spans="1:16">
      <c r="A2" s="3" t="s">
        <v>568</v>
      </c>
      <c r="B2" s="3" t="s">
        <v>150</v>
      </c>
      <c r="C2" s="3" t="s">
        <v>152</v>
      </c>
      <c r="D2" s="3" t="s">
        <v>93</v>
      </c>
      <c r="E2" s="3" t="s">
        <v>158</v>
      </c>
      <c r="F2" s="3" t="s">
        <v>608</v>
      </c>
      <c r="G2" s="3" t="s">
        <v>609</v>
      </c>
      <c r="H2" s="3" t="s">
        <v>157</v>
      </c>
      <c r="I2" s="3" t="s">
        <v>610</v>
      </c>
      <c r="J2" s="3" t="s">
        <v>611</v>
      </c>
      <c r="K2" s="3" t="s">
        <v>612</v>
      </c>
      <c r="L2" s="3" t="s">
        <v>85</v>
      </c>
      <c r="M2" s="3" t="s">
        <v>613</v>
      </c>
      <c r="N2" s="3" t="s">
        <v>614</v>
      </c>
      <c r="O2" s="3" t="s">
        <v>345</v>
      </c>
      <c r="P2" s="3"/>
    </row>
    <row r="3" spans="1:16" ht="28.5">
      <c r="A3" s="3" t="s">
        <v>571</v>
      </c>
      <c r="B3" s="3" t="s">
        <v>164</v>
      </c>
      <c r="C3" s="3" t="s">
        <v>166</v>
      </c>
      <c r="D3" s="3" t="s">
        <v>96</v>
      </c>
      <c r="E3" s="3" t="s">
        <v>172</v>
      </c>
      <c r="F3" s="3" t="s">
        <v>615</v>
      </c>
      <c r="G3" s="3" t="s">
        <v>170</v>
      </c>
      <c r="H3" s="3" t="s">
        <v>171</v>
      </c>
      <c r="I3" s="3" t="s">
        <v>616</v>
      </c>
      <c r="J3" s="3" t="s">
        <v>617</v>
      </c>
      <c r="K3" s="3" t="s">
        <v>618</v>
      </c>
      <c r="L3" s="3" t="s">
        <v>88</v>
      </c>
      <c r="M3" s="3" t="s">
        <v>619</v>
      </c>
      <c r="N3" s="3" t="s">
        <v>620</v>
      </c>
      <c r="O3" s="3" t="s">
        <v>345</v>
      </c>
      <c r="P3" s="3"/>
    </row>
    <row r="4" spans="1:16">
      <c r="A4" s="3" t="s">
        <v>574</v>
      </c>
      <c r="B4" s="3" t="s">
        <v>178</v>
      </c>
      <c r="C4" s="3" t="s">
        <v>180</v>
      </c>
      <c r="D4" s="3" t="s">
        <v>104</v>
      </c>
      <c r="E4" s="3" t="s">
        <v>185</v>
      </c>
      <c r="F4" s="3" t="s">
        <v>621</v>
      </c>
      <c r="G4" s="3" t="s">
        <v>183</v>
      </c>
      <c r="H4" s="3" t="s">
        <v>622</v>
      </c>
      <c r="I4" s="3" t="s">
        <v>623</v>
      </c>
      <c r="J4" s="3" t="s">
        <v>624</v>
      </c>
      <c r="K4" s="3" t="s">
        <v>625</v>
      </c>
      <c r="L4" s="3" t="s">
        <v>88</v>
      </c>
      <c r="M4" s="3" t="s">
        <v>424</v>
      </c>
      <c r="N4" s="3" t="s">
        <v>626</v>
      </c>
      <c r="O4" s="3" t="s">
        <v>344</v>
      </c>
      <c r="P4" s="3"/>
    </row>
    <row r="5" spans="1:16">
      <c r="A5" s="3" t="s">
        <v>576</v>
      </c>
      <c r="B5" s="3" t="s">
        <v>190</v>
      </c>
      <c r="C5" s="3" t="s">
        <v>191</v>
      </c>
      <c r="D5" s="3" t="s">
        <v>102</v>
      </c>
      <c r="E5" s="3" t="s">
        <v>196</v>
      </c>
      <c r="F5" s="3" t="s">
        <v>627</v>
      </c>
      <c r="G5" s="3" t="s">
        <v>194</v>
      </c>
      <c r="H5" s="3" t="s">
        <v>195</v>
      </c>
      <c r="I5" s="3" t="s">
        <v>628</v>
      </c>
      <c r="J5" s="3" t="s">
        <v>629</v>
      </c>
      <c r="K5" s="3" t="s">
        <v>630</v>
      </c>
      <c r="L5" s="3" t="s">
        <v>85</v>
      </c>
      <c r="M5" s="3" t="s">
        <v>551</v>
      </c>
      <c r="N5" s="3" t="s">
        <v>631</v>
      </c>
      <c r="O5" s="3" t="s">
        <v>345</v>
      </c>
      <c r="P5" s="3"/>
    </row>
    <row r="6" spans="1:16">
      <c r="A6" s="3" t="s">
        <v>578</v>
      </c>
      <c r="B6" s="3" t="s">
        <v>201</v>
      </c>
      <c r="C6" s="3" t="s">
        <v>202</v>
      </c>
      <c r="D6" s="3" t="s">
        <v>98</v>
      </c>
      <c r="E6" s="3" t="s">
        <v>208</v>
      </c>
      <c r="F6" s="3" t="s">
        <v>632</v>
      </c>
      <c r="G6" s="3" t="s">
        <v>206</v>
      </c>
      <c r="H6" s="3" t="s">
        <v>207</v>
      </c>
      <c r="I6" s="3" t="s">
        <v>616</v>
      </c>
      <c r="J6" s="3" t="s">
        <v>617</v>
      </c>
      <c r="K6" s="3" t="s">
        <v>618</v>
      </c>
      <c r="L6" s="3" t="s">
        <v>88</v>
      </c>
      <c r="M6" s="3" t="s">
        <v>551</v>
      </c>
      <c r="N6" s="3" t="s">
        <v>555</v>
      </c>
      <c r="O6" s="3" t="s">
        <v>345</v>
      </c>
      <c r="P6" s="3"/>
    </row>
    <row r="7" spans="1:16" ht="28.5">
      <c r="A7" s="3" t="s">
        <v>580</v>
      </c>
      <c r="B7" s="3" t="s">
        <v>213</v>
      </c>
      <c r="C7" s="3" t="s">
        <v>214</v>
      </c>
      <c r="D7" s="3" t="s">
        <v>106</v>
      </c>
      <c r="E7" s="3" t="s">
        <v>219</v>
      </c>
      <c r="F7" s="3" t="s">
        <v>633</v>
      </c>
      <c r="G7" s="3" t="s">
        <v>217</v>
      </c>
      <c r="H7" s="3" t="s">
        <v>634</v>
      </c>
      <c r="I7" s="3" t="s">
        <v>623</v>
      </c>
      <c r="J7" s="3" t="s">
        <v>624</v>
      </c>
      <c r="K7" s="3" t="s">
        <v>625</v>
      </c>
      <c r="L7" s="3" t="s">
        <v>85</v>
      </c>
      <c r="M7" s="3" t="s">
        <v>424</v>
      </c>
      <c r="N7" s="3" t="s">
        <v>635</v>
      </c>
      <c r="O7" s="3" t="s">
        <v>344</v>
      </c>
      <c r="P7" s="3"/>
    </row>
  </sheetData>
  <dataValidations count="1">
    <dataValidation type="list" sqref="M2:M200" xr:uid="{00000000-0002-0000-0B00-000000000000}">
      <formula1>"New Lead,Contacted,Inspection Scheduled,Quotation Issued,Agreement Sent,Agreement Signed,Deposit Received,Work Order Created,Scheduled,Confirmed,Packing,Loading,In Transit,Delivery,Completed,Closed,Pending,Open,Paid,Unpaid,Partial"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00"/>
  <sheetViews>
    <sheetView workbookViewId="0"/>
  </sheetViews>
  <sheetFormatPr defaultRowHeight="14.25"/>
  <cols>
    <col min="1" max="12" width="18" customWidth="1"/>
    <col min="13" max="13" width="34" customWidth="1"/>
  </cols>
  <sheetData>
    <row r="1" spans="1:13" ht="15">
      <c r="A1" s="2" t="s">
        <v>636</v>
      </c>
      <c r="B1" s="2" t="s">
        <v>600</v>
      </c>
      <c r="C1" s="2" t="s">
        <v>637</v>
      </c>
      <c r="D1" s="2" t="s">
        <v>638</v>
      </c>
      <c r="E1" s="2" t="s">
        <v>639</v>
      </c>
      <c r="F1" s="2" t="s">
        <v>640</v>
      </c>
      <c r="G1" s="2" t="s">
        <v>641</v>
      </c>
      <c r="H1" s="2" t="s">
        <v>642</v>
      </c>
      <c r="I1" s="2" t="s">
        <v>643</v>
      </c>
      <c r="J1" s="2" t="s">
        <v>644</v>
      </c>
      <c r="K1" s="2" t="s">
        <v>645</v>
      </c>
      <c r="L1" s="2" t="s">
        <v>646</v>
      </c>
      <c r="M1" s="2" t="s">
        <v>36</v>
      </c>
    </row>
    <row r="2" spans="1:13">
      <c r="A2" s="3" t="s">
        <v>647</v>
      </c>
      <c r="B2" s="3" t="s">
        <v>568</v>
      </c>
      <c r="C2" s="3" t="s">
        <v>648</v>
      </c>
      <c r="D2" s="3" t="s">
        <v>649</v>
      </c>
      <c r="E2" s="4">
        <v>2500</v>
      </c>
      <c r="F2" s="3" t="s">
        <v>608</v>
      </c>
      <c r="G2" s="3" t="s">
        <v>650</v>
      </c>
      <c r="H2" s="3">
        <v>10</v>
      </c>
      <c r="I2" s="3">
        <v>1</v>
      </c>
      <c r="J2" s="4">
        <v>500</v>
      </c>
      <c r="K2" s="4">
        <f t="shared" ref="K2:K33" si="0">E2+J2</f>
        <v>3000</v>
      </c>
      <c r="L2" s="3" t="s">
        <v>651</v>
      </c>
      <c r="M2" s="3"/>
    </row>
    <row r="3" spans="1:13">
      <c r="A3" s="3" t="s">
        <v>652</v>
      </c>
      <c r="B3" s="3" t="s">
        <v>568</v>
      </c>
      <c r="C3" s="3" t="s">
        <v>653</v>
      </c>
      <c r="D3" s="3" t="s">
        <v>654</v>
      </c>
      <c r="E3" s="4">
        <v>1800</v>
      </c>
      <c r="F3" s="3" t="s">
        <v>608</v>
      </c>
      <c r="G3" s="3" t="s">
        <v>650</v>
      </c>
      <c r="H3" s="3">
        <v>10</v>
      </c>
      <c r="I3" s="3">
        <v>1</v>
      </c>
      <c r="J3" s="4">
        <v>300</v>
      </c>
      <c r="K3" s="4">
        <f t="shared" si="0"/>
        <v>2100</v>
      </c>
      <c r="L3" s="3" t="s">
        <v>651</v>
      </c>
      <c r="M3" s="3"/>
    </row>
    <row r="4" spans="1:13">
      <c r="A4" s="3" t="s">
        <v>655</v>
      </c>
      <c r="B4" s="3" t="s">
        <v>568</v>
      </c>
      <c r="C4" s="3" t="s">
        <v>656</v>
      </c>
      <c r="D4" s="3" t="s">
        <v>654</v>
      </c>
      <c r="E4" s="4">
        <v>1800</v>
      </c>
      <c r="F4" s="3" t="s">
        <v>608</v>
      </c>
      <c r="G4" s="3" t="s">
        <v>650</v>
      </c>
      <c r="H4" s="3">
        <v>10</v>
      </c>
      <c r="I4" s="3">
        <v>1</v>
      </c>
      <c r="J4" s="4">
        <v>300</v>
      </c>
      <c r="K4" s="4">
        <f t="shared" si="0"/>
        <v>2100</v>
      </c>
      <c r="L4" s="3" t="s">
        <v>651</v>
      </c>
      <c r="M4" s="3"/>
    </row>
    <row r="5" spans="1:13">
      <c r="A5" s="3" t="s">
        <v>657</v>
      </c>
      <c r="B5" s="3" t="s">
        <v>568</v>
      </c>
      <c r="C5" s="3" t="s">
        <v>658</v>
      </c>
      <c r="D5" s="3" t="s">
        <v>654</v>
      </c>
      <c r="E5" s="4">
        <v>1800</v>
      </c>
      <c r="F5" s="3" t="s">
        <v>608</v>
      </c>
      <c r="G5" s="3" t="s">
        <v>650</v>
      </c>
      <c r="H5" s="3">
        <v>10</v>
      </c>
      <c r="I5" s="3">
        <v>1</v>
      </c>
      <c r="J5" s="4">
        <v>300</v>
      </c>
      <c r="K5" s="4">
        <f t="shared" si="0"/>
        <v>2100</v>
      </c>
      <c r="L5" s="3" t="s">
        <v>651</v>
      </c>
      <c r="M5" s="3"/>
    </row>
    <row r="6" spans="1:13">
      <c r="A6" s="3" t="s">
        <v>659</v>
      </c>
      <c r="B6" s="3" t="s">
        <v>571</v>
      </c>
      <c r="C6" s="3" t="s">
        <v>660</v>
      </c>
      <c r="D6" s="3" t="s">
        <v>605</v>
      </c>
      <c r="E6" s="4">
        <v>3000</v>
      </c>
      <c r="F6" s="3" t="s">
        <v>615</v>
      </c>
      <c r="G6" s="3" t="s">
        <v>661</v>
      </c>
      <c r="H6" s="3">
        <v>13</v>
      </c>
      <c r="I6" s="3">
        <v>3</v>
      </c>
      <c r="J6" s="4">
        <v>800</v>
      </c>
      <c r="K6" s="4">
        <f t="shared" si="0"/>
        <v>3800</v>
      </c>
      <c r="L6" s="3" t="s">
        <v>651</v>
      </c>
      <c r="M6" s="3" t="s">
        <v>662</v>
      </c>
    </row>
    <row r="7" spans="1:13">
      <c r="A7" s="3" t="s">
        <v>663</v>
      </c>
      <c r="B7" s="3" t="s">
        <v>571</v>
      </c>
      <c r="C7" s="3" t="s">
        <v>664</v>
      </c>
      <c r="D7" s="3" t="s">
        <v>665</v>
      </c>
      <c r="E7" s="4">
        <v>2500</v>
      </c>
      <c r="F7" s="3" t="s">
        <v>615</v>
      </c>
      <c r="G7" s="3" t="s">
        <v>661</v>
      </c>
      <c r="H7" s="3">
        <v>13</v>
      </c>
      <c r="I7" s="3">
        <v>3</v>
      </c>
      <c r="J7" s="4">
        <v>700</v>
      </c>
      <c r="K7" s="4">
        <f t="shared" si="0"/>
        <v>3200</v>
      </c>
      <c r="L7" s="3" t="s">
        <v>651</v>
      </c>
      <c r="M7" s="3"/>
    </row>
    <row r="8" spans="1:13">
      <c r="A8" s="3" t="s">
        <v>666</v>
      </c>
      <c r="B8" s="3" t="s">
        <v>574</v>
      </c>
      <c r="C8" s="3" t="s">
        <v>656</v>
      </c>
      <c r="D8" s="3" t="s">
        <v>605</v>
      </c>
      <c r="E8" s="4">
        <v>2500</v>
      </c>
      <c r="F8" s="3" t="s">
        <v>621</v>
      </c>
      <c r="G8" s="3" t="s">
        <v>667</v>
      </c>
      <c r="H8" s="3">
        <v>6</v>
      </c>
      <c r="I8" s="3">
        <v>0</v>
      </c>
      <c r="J8" s="4">
        <v>300</v>
      </c>
      <c r="K8" s="4">
        <f t="shared" si="0"/>
        <v>2800</v>
      </c>
      <c r="L8" s="3" t="s">
        <v>651</v>
      </c>
      <c r="M8" s="3"/>
    </row>
    <row r="9" spans="1:13">
      <c r="A9" s="3" t="s">
        <v>668</v>
      </c>
      <c r="B9" s="3" t="s">
        <v>580</v>
      </c>
      <c r="C9" s="3" t="s">
        <v>669</v>
      </c>
      <c r="D9" s="3" t="s">
        <v>670</v>
      </c>
      <c r="E9" s="4">
        <v>1800</v>
      </c>
      <c r="F9" s="3" t="s">
        <v>633</v>
      </c>
      <c r="G9" s="3" t="s">
        <v>671</v>
      </c>
      <c r="H9" s="3">
        <v>5.5</v>
      </c>
      <c r="I9" s="3">
        <v>0</v>
      </c>
      <c r="J9" s="4">
        <v>200</v>
      </c>
      <c r="K9" s="4">
        <f t="shared" si="0"/>
        <v>2000</v>
      </c>
      <c r="L9" s="3" t="s">
        <v>651</v>
      </c>
      <c r="M9" s="3"/>
    </row>
    <row r="10" spans="1:13">
      <c r="E10" s="5"/>
      <c r="J10" s="5"/>
      <c r="K10" s="5">
        <f t="shared" si="0"/>
        <v>0</v>
      </c>
    </row>
    <row r="11" spans="1:13">
      <c r="E11" s="5"/>
      <c r="J11" s="5"/>
      <c r="K11" s="5">
        <f t="shared" si="0"/>
        <v>0</v>
      </c>
    </row>
    <row r="12" spans="1:13">
      <c r="E12" s="5"/>
      <c r="J12" s="5"/>
      <c r="K12" s="5">
        <f t="shared" si="0"/>
        <v>0</v>
      </c>
    </row>
    <row r="13" spans="1:13">
      <c r="E13" s="5"/>
      <c r="J13" s="5"/>
      <c r="K13" s="5">
        <f t="shared" si="0"/>
        <v>0</v>
      </c>
    </row>
    <row r="14" spans="1:13">
      <c r="E14" s="5"/>
      <c r="J14" s="5"/>
      <c r="K14" s="5">
        <f t="shared" si="0"/>
        <v>0</v>
      </c>
    </row>
    <row r="15" spans="1:13">
      <c r="E15" s="5"/>
      <c r="J15" s="5"/>
      <c r="K15" s="5">
        <f t="shared" si="0"/>
        <v>0</v>
      </c>
    </row>
    <row r="16" spans="1:13">
      <c r="E16" s="5"/>
      <c r="J16" s="5"/>
      <c r="K16" s="5">
        <f t="shared" si="0"/>
        <v>0</v>
      </c>
    </row>
    <row r="17" spans="5:11">
      <c r="E17" s="5"/>
      <c r="J17" s="5"/>
      <c r="K17" s="5">
        <f t="shared" si="0"/>
        <v>0</v>
      </c>
    </row>
    <row r="18" spans="5:11">
      <c r="E18" s="5"/>
      <c r="J18" s="5"/>
      <c r="K18" s="5">
        <f t="shared" si="0"/>
        <v>0</v>
      </c>
    </row>
    <row r="19" spans="5:11">
      <c r="E19" s="5"/>
      <c r="J19" s="5"/>
      <c r="K19" s="5">
        <f t="shared" si="0"/>
        <v>0</v>
      </c>
    </row>
    <row r="20" spans="5:11">
      <c r="E20" s="5"/>
      <c r="J20" s="5"/>
      <c r="K20" s="5">
        <f t="shared" si="0"/>
        <v>0</v>
      </c>
    </row>
    <row r="21" spans="5:11">
      <c r="E21" s="5"/>
      <c r="J21" s="5"/>
      <c r="K21" s="5">
        <f t="shared" si="0"/>
        <v>0</v>
      </c>
    </row>
    <row r="22" spans="5:11">
      <c r="E22" s="5"/>
      <c r="J22" s="5"/>
      <c r="K22" s="5">
        <f t="shared" si="0"/>
        <v>0</v>
      </c>
    </row>
    <row r="23" spans="5:11">
      <c r="E23" s="5"/>
      <c r="J23" s="5"/>
      <c r="K23" s="5">
        <f t="shared" si="0"/>
        <v>0</v>
      </c>
    </row>
    <row r="24" spans="5:11">
      <c r="E24" s="5"/>
      <c r="J24" s="5"/>
      <c r="K24" s="5">
        <f t="shared" si="0"/>
        <v>0</v>
      </c>
    </row>
    <row r="25" spans="5:11">
      <c r="E25" s="5"/>
      <c r="J25" s="5"/>
      <c r="K25" s="5">
        <f t="shared" si="0"/>
        <v>0</v>
      </c>
    </row>
    <row r="26" spans="5:11">
      <c r="E26" s="5"/>
      <c r="J26" s="5"/>
      <c r="K26" s="5">
        <f t="shared" si="0"/>
        <v>0</v>
      </c>
    </row>
    <row r="27" spans="5:11">
      <c r="E27" s="5"/>
      <c r="J27" s="5"/>
      <c r="K27" s="5">
        <f t="shared" si="0"/>
        <v>0</v>
      </c>
    </row>
    <row r="28" spans="5:11">
      <c r="E28" s="5"/>
      <c r="J28" s="5"/>
      <c r="K28" s="5">
        <f t="shared" si="0"/>
        <v>0</v>
      </c>
    </row>
    <row r="29" spans="5:11">
      <c r="E29" s="5"/>
      <c r="J29" s="5"/>
      <c r="K29" s="5">
        <f t="shared" si="0"/>
        <v>0</v>
      </c>
    </row>
    <row r="30" spans="5:11">
      <c r="E30" s="5"/>
      <c r="J30" s="5"/>
      <c r="K30" s="5">
        <f t="shared" si="0"/>
        <v>0</v>
      </c>
    </row>
    <row r="31" spans="5:11">
      <c r="E31" s="5"/>
      <c r="J31" s="5"/>
      <c r="K31" s="5">
        <f t="shared" si="0"/>
        <v>0</v>
      </c>
    </row>
    <row r="32" spans="5:11">
      <c r="E32" s="5"/>
      <c r="J32" s="5"/>
      <c r="K32" s="5">
        <f t="shared" si="0"/>
        <v>0</v>
      </c>
    </row>
    <row r="33" spans="5:11">
      <c r="E33" s="5"/>
      <c r="J33" s="5"/>
      <c r="K33" s="5">
        <f t="shared" si="0"/>
        <v>0</v>
      </c>
    </row>
    <row r="34" spans="5:11">
      <c r="E34" s="5"/>
      <c r="J34" s="5"/>
      <c r="K34" s="5">
        <f t="shared" ref="K34:K65" si="1">E34+J34</f>
        <v>0</v>
      </c>
    </row>
    <row r="35" spans="5:11">
      <c r="E35" s="5"/>
      <c r="J35" s="5"/>
      <c r="K35" s="5">
        <f t="shared" si="1"/>
        <v>0</v>
      </c>
    </row>
    <row r="36" spans="5:11">
      <c r="E36" s="5"/>
      <c r="J36" s="5"/>
      <c r="K36" s="5">
        <f t="shared" si="1"/>
        <v>0</v>
      </c>
    </row>
    <row r="37" spans="5:11">
      <c r="E37" s="5"/>
      <c r="J37" s="5"/>
      <c r="K37" s="5">
        <f t="shared" si="1"/>
        <v>0</v>
      </c>
    </row>
    <row r="38" spans="5:11">
      <c r="E38" s="5"/>
      <c r="J38" s="5"/>
      <c r="K38" s="5">
        <f t="shared" si="1"/>
        <v>0</v>
      </c>
    </row>
    <row r="39" spans="5:11">
      <c r="E39" s="5"/>
      <c r="J39" s="5"/>
      <c r="K39" s="5">
        <f t="shared" si="1"/>
        <v>0</v>
      </c>
    </row>
    <row r="40" spans="5:11">
      <c r="E40" s="5"/>
      <c r="J40" s="5"/>
      <c r="K40" s="5">
        <f t="shared" si="1"/>
        <v>0</v>
      </c>
    </row>
    <row r="41" spans="5:11">
      <c r="E41" s="5"/>
      <c r="J41" s="5"/>
      <c r="K41" s="5">
        <f t="shared" si="1"/>
        <v>0</v>
      </c>
    </row>
    <row r="42" spans="5:11">
      <c r="E42" s="5"/>
      <c r="J42" s="5"/>
      <c r="K42" s="5">
        <f t="shared" si="1"/>
        <v>0</v>
      </c>
    </row>
    <row r="43" spans="5:11">
      <c r="E43" s="5"/>
      <c r="J43" s="5"/>
      <c r="K43" s="5">
        <f t="shared" si="1"/>
        <v>0</v>
      </c>
    </row>
    <row r="44" spans="5:11">
      <c r="E44" s="5"/>
      <c r="J44" s="5"/>
      <c r="K44" s="5">
        <f t="shared" si="1"/>
        <v>0</v>
      </c>
    </row>
    <row r="45" spans="5:11">
      <c r="E45" s="5"/>
      <c r="J45" s="5"/>
      <c r="K45" s="5">
        <f t="shared" si="1"/>
        <v>0</v>
      </c>
    </row>
    <row r="46" spans="5:11">
      <c r="E46" s="5"/>
      <c r="J46" s="5"/>
      <c r="K46" s="5">
        <f t="shared" si="1"/>
        <v>0</v>
      </c>
    </row>
    <row r="47" spans="5:11">
      <c r="E47" s="5"/>
      <c r="J47" s="5"/>
      <c r="K47" s="5">
        <f t="shared" si="1"/>
        <v>0</v>
      </c>
    </row>
    <row r="48" spans="5:11">
      <c r="E48" s="5"/>
      <c r="J48" s="5"/>
      <c r="K48" s="5">
        <f t="shared" si="1"/>
        <v>0</v>
      </c>
    </row>
    <row r="49" spans="5:11">
      <c r="E49" s="5"/>
      <c r="J49" s="5"/>
      <c r="K49" s="5">
        <f t="shared" si="1"/>
        <v>0</v>
      </c>
    </row>
    <row r="50" spans="5:11">
      <c r="E50" s="5"/>
      <c r="J50" s="5"/>
      <c r="K50" s="5">
        <f t="shared" si="1"/>
        <v>0</v>
      </c>
    </row>
    <row r="51" spans="5:11">
      <c r="E51" s="5"/>
      <c r="J51" s="5"/>
      <c r="K51" s="5">
        <f t="shared" si="1"/>
        <v>0</v>
      </c>
    </row>
    <row r="52" spans="5:11">
      <c r="E52" s="5"/>
      <c r="J52" s="5"/>
      <c r="K52" s="5">
        <f t="shared" si="1"/>
        <v>0</v>
      </c>
    </row>
    <row r="53" spans="5:11">
      <c r="E53" s="5"/>
      <c r="J53" s="5"/>
      <c r="K53" s="5">
        <f t="shared" si="1"/>
        <v>0</v>
      </c>
    </row>
    <row r="54" spans="5:11">
      <c r="E54" s="5"/>
      <c r="J54" s="5"/>
      <c r="K54" s="5">
        <f t="shared" si="1"/>
        <v>0</v>
      </c>
    </row>
    <row r="55" spans="5:11">
      <c r="E55" s="5"/>
      <c r="J55" s="5"/>
      <c r="K55" s="5">
        <f t="shared" si="1"/>
        <v>0</v>
      </c>
    </row>
    <row r="56" spans="5:11">
      <c r="E56" s="5"/>
      <c r="J56" s="5"/>
      <c r="K56" s="5">
        <f t="shared" si="1"/>
        <v>0</v>
      </c>
    </row>
    <row r="57" spans="5:11">
      <c r="E57" s="5"/>
      <c r="J57" s="5"/>
      <c r="K57" s="5">
        <f t="shared" si="1"/>
        <v>0</v>
      </c>
    </row>
    <row r="58" spans="5:11">
      <c r="E58" s="5"/>
      <c r="J58" s="5"/>
      <c r="K58" s="5">
        <f t="shared" si="1"/>
        <v>0</v>
      </c>
    </row>
    <row r="59" spans="5:11">
      <c r="E59" s="5"/>
      <c r="J59" s="5"/>
      <c r="K59" s="5">
        <f t="shared" si="1"/>
        <v>0</v>
      </c>
    </row>
    <row r="60" spans="5:11">
      <c r="E60" s="5"/>
      <c r="J60" s="5"/>
      <c r="K60" s="5">
        <f t="shared" si="1"/>
        <v>0</v>
      </c>
    </row>
    <row r="61" spans="5:11">
      <c r="E61" s="5"/>
      <c r="J61" s="5"/>
      <c r="K61" s="5">
        <f t="shared" si="1"/>
        <v>0</v>
      </c>
    </row>
    <row r="62" spans="5:11">
      <c r="E62" s="5"/>
      <c r="J62" s="5"/>
      <c r="K62" s="5">
        <f t="shared" si="1"/>
        <v>0</v>
      </c>
    </row>
    <row r="63" spans="5:11">
      <c r="E63" s="5"/>
      <c r="J63" s="5"/>
      <c r="K63" s="5">
        <f t="shared" si="1"/>
        <v>0</v>
      </c>
    </row>
    <row r="64" spans="5:11">
      <c r="E64" s="5"/>
      <c r="J64" s="5"/>
      <c r="K64" s="5">
        <f t="shared" si="1"/>
        <v>0</v>
      </c>
    </row>
    <row r="65" spans="5:11">
      <c r="E65" s="5"/>
      <c r="J65" s="5"/>
      <c r="K65" s="5">
        <f t="shared" si="1"/>
        <v>0</v>
      </c>
    </row>
    <row r="66" spans="5:11">
      <c r="E66" s="5"/>
      <c r="J66" s="5"/>
      <c r="K66" s="5">
        <f t="shared" ref="K66:K97" si="2">E66+J66</f>
        <v>0</v>
      </c>
    </row>
    <row r="67" spans="5:11">
      <c r="E67" s="5"/>
      <c r="J67" s="5"/>
      <c r="K67" s="5">
        <f t="shared" si="2"/>
        <v>0</v>
      </c>
    </row>
    <row r="68" spans="5:11">
      <c r="E68" s="5"/>
      <c r="J68" s="5"/>
      <c r="K68" s="5">
        <f t="shared" si="2"/>
        <v>0</v>
      </c>
    </row>
    <row r="69" spans="5:11">
      <c r="E69" s="5"/>
      <c r="J69" s="5"/>
      <c r="K69" s="5">
        <f t="shared" si="2"/>
        <v>0</v>
      </c>
    </row>
    <row r="70" spans="5:11">
      <c r="E70" s="5"/>
      <c r="J70" s="5"/>
      <c r="K70" s="5">
        <f t="shared" si="2"/>
        <v>0</v>
      </c>
    </row>
    <row r="71" spans="5:11">
      <c r="E71" s="5"/>
      <c r="J71" s="5"/>
      <c r="K71" s="5">
        <f t="shared" si="2"/>
        <v>0</v>
      </c>
    </row>
    <row r="72" spans="5:11">
      <c r="E72" s="5"/>
      <c r="J72" s="5"/>
      <c r="K72" s="5">
        <f t="shared" si="2"/>
        <v>0</v>
      </c>
    </row>
    <row r="73" spans="5:11">
      <c r="E73" s="5"/>
      <c r="J73" s="5"/>
      <c r="K73" s="5">
        <f t="shared" si="2"/>
        <v>0</v>
      </c>
    </row>
    <row r="74" spans="5:11">
      <c r="E74" s="5"/>
      <c r="J74" s="5"/>
      <c r="K74" s="5">
        <f t="shared" si="2"/>
        <v>0</v>
      </c>
    </row>
    <row r="75" spans="5:11">
      <c r="E75" s="5"/>
      <c r="J75" s="5"/>
      <c r="K75" s="5">
        <f t="shared" si="2"/>
        <v>0</v>
      </c>
    </row>
    <row r="76" spans="5:11">
      <c r="E76" s="5"/>
      <c r="J76" s="5"/>
      <c r="K76" s="5">
        <f t="shared" si="2"/>
        <v>0</v>
      </c>
    </row>
    <row r="77" spans="5:11">
      <c r="E77" s="5"/>
      <c r="J77" s="5"/>
      <c r="K77" s="5">
        <f t="shared" si="2"/>
        <v>0</v>
      </c>
    </row>
    <row r="78" spans="5:11">
      <c r="E78" s="5"/>
      <c r="J78" s="5"/>
      <c r="K78" s="5">
        <f t="shared" si="2"/>
        <v>0</v>
      </c>
    </row>
    <row r="79" spans="5:11">
      <c r="E79" s="5"/>
      <c r="J79" s="5"/>
      <c r="K79" s="5">
        <f t="shared" si="2"/>
        <v>0</v>
      </c>
    </row>
    <row r="80" spans="5:11">
      <c r="E80" s="5"/>
      <c r="J80" s="5"/>
      <c r="K80" s="5">
        <f t="shared" si="2"/>
        <v>0</v>
      </c>
    </row>
    <row r="81" spans="5:11">
      <c r="E81" s="5"/>
      <c r="J81" s="5"/>
      <c r="K81" s="5">
        <f t="shared" si="2"/>
        <v>0</v>
      </c>
    </row>
    <row r="82" spans="5:11">
      <c r="E82" s="5"/>
      <c r="J82" s="5"/>
      <c r="K82" s="5">
        <f t="shared" si="2"/>
        <v>0</v>
      </c>
    </row>
    <row r="83" spans="5:11">
      <c r="E83" s="5"/>
      <c r="J83" s="5"/>
      <c r="K83" s="5">
        <f t="shared" si="2"/>
        <v>0</v>
      </c>
    </row>
    <row r="84" spans="5:11">
      <c r="E84" s="5"/>
      <c r="J84" s="5"/>
      <c r="K84" s="5">
        <f t="shared" si="2"/>
        <v>0</v>
      </c>
    </row>
    <row r="85" spans="5:11">
      <c r="E85" s="5"/>
      <c r="J85" s="5"/>
      <c r="K85" s="5">
        <f t="shared" si="2"/>
        <v>0</v>
      </c>
    </row>
    <row r="86" spans="5:11">
      <c r="E86" s="5"/>
      <c r="J86" s="5"/>
      <c r="K86" s="5">
        <f t="shared" si="2"/>
        <v>0</v>
      </c>
    </row>
    <row r="87" spans="5:11">
      <c r="E87" s="5"/>
      <c r="J87" s="5"/>
      <c r="K87" s="5">
        <f t="shared" si="2"/>
        <v>0</v>
      </c>
    </row>
    <row r="88" spans="5:11">
      <c r="E88" s="5"/>
      <c r="J88" s="5"/>
      <c r="K88" s="5">
        <f t="shared" si="2"/>
        <v>0</v>
      </c>
    </row>
    <row r="89" spans="5:11">
      <c r="E89" s="5"/>
      <c r="J89" s="5"/>
      <c r="K89" s="5">
        <f t="shared" si="2"/>
        <v>0</v>
      </c>
    </row>
    <row r="90" spans="5:11">
      <c r="E90" s="5"/>
      <c r="J90" s="5"/>
      <c r="K90" s="5">
        <f t="shared" si="2"/>
        <v>0</v>
      </c>
    </row>
    <row r="91" spans="5:11">
      <c r="E91" s="5"/>
      <c r="J91" s="5"/>
      <c r="K91" s="5">
        <f t="shared" si="2"/>
        <v>0</v>
      </c>
    </row>
    <row r="92" spans="5:11">
      <c r="E92" s="5"/>
      <c r="J92" s="5"/>
      <c r="K92" s="5">
        <f t="shared" si="2"/>
        <v>0</v>
      </c>
    </row>
    <row r="93" spans="5:11">
      <c r="E93" s="5"/>
      <c r="J93" s="5"/>
      <c r="K93" s="5">
        <f t="shared" si="2"/>
        <v>0</v>
      </c>
    </row>
    <row r="94" spans="5:11">
      <c r="E94" s="5"/>
      <c r="J94" s="5"/>
      <c r="K94" s="5">
        <f t="shared" si="2"/>
        <v>0</v>
      </c>
    </row>
    <row r="95" spans="5:11">
      <c r="E95" s="5"/>
      <c r="J95" s="5"/>
      <c r="K95" s="5">
        <f t="shared" si="2"/>
        <v>0</v>
      </c>
    </row>
    <row r="96" spans="5:11">
      <c r="E96" s="5"/>
      <c r="J96" s="5"/>
      <c r="K96" s="5">
        <f t="shared" si="2"/>
        <v>0</v>
      </c>
    </row>
    <row r="97" spans="5:11">
      <c r="E97" s="5"/>
      <c r="J97" s="5"/>
      <c r="K97" s="5">
        <f t="shared" si="2"/>
        <v>0</v>
      </c>
    </row>
    <row r="98" spans="5:11">
      <c r="E98" s="5"/>
      <c r="J98" s="5"/>
      <c r="K98" s="5">
        <f t="shared" ref="K98:K129" si="3">E98+J98</f>
        <v>0</v>
      </c>
    </row>
    <row r="99" spans="5:11">
      <c r="E99" s="5"/>
      <c r="J99" s="5"/>
      <c r="K99" s="5">
        <f t="shared" si="3"/>
        <v>0</v>
      </c>
    </row>
    <row r="100" spans="5:11">
      <c r="E100" s="5"/>
      <c r="J100" s="5"/>
      <c r="K100" s="5">
        <f t="shared" si="3"/>
        <v>0</v>
      </c>
    </row>
    <row r="101" spans="5:11">
      <c r="E101" s="5"/>
      <c r="J101" s="5"/>
      <c r="K101" s="5">
        <f t="shared" si="3"/>
        <v>0</v>
      </c>
    </row>
    <row r="102" spans="5:11">
      <c r="E102" s="5"/>
      <c r="J102" s="5"/>
      <c r="K102" s="5">
        <f t="shared" si="3"/>
        <v>0</v>
      </c>
    </row>
    <row r="103" spans="5:11">
      <c r="E103" s="5"/>
      <c r="J103" s="5"/>
      <c r="K103" s="5">
        <f t="shared" si="3"/>
        <v>0</v>
      </c>
    </row>
    <row r="104" spans="5:11">
      <c r="E104" s="5"/>
      <c r="J104" s="5"/>
      <c r="K104" s="5">
        <f t="shared" si="3"/>
        <v>0</v>
      </c>
    </row>
    <row r="105" spans="5:11">
      <c r="E105" s="5"/>
      <c r="J105" s="5"/>
      <c r="K105" s="5">
        <f t="shared" si="3"/>
        <v>0</v>
      </c>
    </row>
    <row r="106" spans="5:11">
      <c r="E106" s="5"/>
      <c r="J106" s="5"/>
      <c r="K106" s="5">
        <f t="shared" si="3"/>
        <v>0</v>
      </c>
    </row>
    <row r="107" spans="5:11">
      <c r="E107" s="5"/>
      <c r="J107" s="5"/>
      <c r="K107" s="5">
        <f t="shared" si="3"/>
        <v>0</v>
      </c>
    </row>
    <row r="108" spans="5:11">
      <c r="E108" s="5"/>
      <c r="J108" s="5"/>
      <c r="K108" s="5">
        <f t="shared" si="3"/>
        <v>0</v>
      </c>
    </row>
    <row r="109" spans="5:11">
      <c r="E109" s="5"/>
      <c r="J109" s="5"/>
      <c r="K109" s="5">
        <f t="shared" si="3"/>
        <v>0</v>
      </c>
    </row>
    <row r="110" spans="5:11">
      <c r="E110" s="5"/>
      <c r="J110" s="5"/>
      <c r="K110" s="5">
        <f t="shared" si="3"/>
        <v>0</v>
      </c>
    </row>
    <row r="111" spans="5:11">
      <c r="E111" s="5"/>
      <c r="J111" s="5"/>
      <c r="K111" s="5">
        <f t="shared" si="3"/>
        <v>0</v>
      </c>
    </row>
    <row r="112" spans="5:11">
      <c r="E112" s="5"/>
      <c r="J112" s="5"/>
      <c r="K112" s="5">
        <f t="shared" si="3"/>
        <v>0</v>
      </c>
    </row>
    <row r="113" spans="5:11">
      <c r="E113" s="5"/>
      <c r="J113" s="5"/>
      <c r="K113" s="5">
        <f t="shared" si="3"/>
        <v>0</v>
      </c>
    </row>
    <row r="114" spans="5:11">
      <c r="E114" s="5"/>
      <c r="J114" s="5"/>
      <c r="K114" s="5">
        <f t="shared" si="3"/>
        <v>0</v>
      </c>
    </row>
    <row r="115" spans="5:11">
      <c r="E115" s="5"/>
      <c r="J115" s="5"/>
      <c r="K115" s="5">
        <f t="shared" si="3"/>
        <v>0</v>
      </c>
    </row>
    <row r="116" spans="5:11">
      <c r="E116" s="5"/>
      <c r="J116" s="5"/>
      <c r="K116" s="5">
        <f t="shared" si="3"/>
        <v>0</v>
      </c>
    </row>
    <row r="117" spans="5:11">
      <c r="E117" s="5"/>
      <c r="J117" s="5"/>
      <c r="K117" s="5">
        <f t="shared" si="3"/>
        <v>0</v>
      </c>
    </row>
    <row r="118" spans="5:11">
      <c r="E118" s="5"/>
      <c r="J118" s="5"/>
      <c r="K118" s="5">
        <f t="shared" si="3"/>
        <v>0</v>
      </c>
    </row>
    <row r="119" spans="5:11">
      <c r="E119" s="5"/>
      <c r="J119" s="5"/>
      <c r="K119" s="5">
        <f t="shared" si="3"/>
        <v>0</v>
      </c>
    </row>
    <row r="120" spans="5:11">
      <c r="E120" s="5"/>
      <c r="J120" s="5"/>
      <c r="K120" s="5">
        <f t="shared" si="3"/>
        <v>0</v>
      </c>
    </row>
    <row r="121" spans="5:11">
      <c r="E121" s="5"/>
      <c r="J121" s="5"/>
      <c r="K121" s="5">
        <f t="shared" si="3"/>
        <v>0</v>
      </c>
    </row>
    <row r="122" spans="5:11">
      <c r="E122" s="5"/>
      <c r="J122" s="5"/>
      <c r="K122" s="5">
        <f t="shared" si="3"/>
        <v>0</v>
      </c>
    </row>
    <row r="123" spans="5:11">
      <c r="E123" s="5"/>
      <c r="J123" s="5"/>
      <c r="K123" s="5">
        <f t="shared" si="3"/>
        <v>0</v>
      </c>
    </row>
    <row r="124" spans="5:11">
      <c r="E124" s="5"/>
      <c r="J124" s="5"/>
      <c r="K124" s="5">
        <f t="shared" si="3"/>
        <v>0</v>
      </c>
    </row>
    <row r="125" spans="5:11">
      <c r="E125" s="5"/>
      <c r="J125" s="5"/>
      <c r="K125" s="5">
        <f t="shared" si="3"/>
        <v>0</v>
      </c>
    </row>
    <row r="126" spans="5:11">
      <c r="E126" s="5"/>
      <c r="J126" s="5"/>
      <c r="K126" s="5">
        <f t="shared" si="3"/>
        <v>0</v>
      </c>
    </row>
    <row r="127" spans="5:11">
      <c r="E127" s="5"/>
      <c r="J127" s="5"/>
      <c r="K127" s="5">
        <f t="shared" si="3"/>
        <v>0</v>
      </c>
    </row>
    <row r="128" spans="5:11">
      <c r="E128" s="5"/>
      <c r="J128" s="5"/>
      <c r="K128" s="5">
        <f t="shared" si="3"/>
        <v>0</v>
      </c>
    </row>
    <row r="129" spans="5:11">
      <c r="E129" s="5"/>
      <c r="J129" s="5"/>
      <c r="K129" s="5">
        <f t="shared" si="3"/>
        <v>0</v>
      </c>
    </row>
    <row r="130" spans="5:11">
      <c r="E130" s="5"/>
      <c r="J130" s="5"/>
      <c r="K130" s="5">
        <f t="shared" ref="K130:K161" si="4">E130+J130</f>
        <v>0</v>
      </c>
    </row>
    <row r="131" spans="5:11">
      <c r="E131" s="5"/>
      <c r="J131" s="5"/>
      <c r="K131" s="5">
        <f t="shared" si="4"/>
        <v>0</v>
      </c>
    </row>
    <row r="132" spans="5:11">
      <c r="E132" s="5"/>
      <c r="J132" s="5"/>
      <c r="K132" s="5">
        <f t="shared" si="4"/>
        <v>0</v>
      </c>
    </row>
    <row r="133" spans="5:11">
      <c r="E133" s="5"/>
      <c r="J133" s="5"/>
      <c r="K133" s="5">
        <f t="shared" si="4"/>
        <v>0</v>
      </c>
    </row>
    <row r="134" spans="5:11">
      <c r="E134" s="5"/>
      <c r="J134" s="5"/>
      <c r="K134" s="5">
        <f t="shared" si="4"/>
        <v>0</v>
      </c>
    </row>
    <row r="135" spans="5:11">
      <c r="E135" s="5"/>
      <c r="J135" s="5"/>
      <c r="K135" s="5">
        <f t="shared" si="4"/>
        <v>0</v>
      </c>
    </row>
    <row r="136" spans="5:11">
      <c r="E136" s="5"/>
      <c r="J136" s="5"/>
      <c r="K136" s="5">
        <f t="shared" si="4"/>
        <v>0</v>
      </c>
    </row>
    <row r="137" spans="5:11">
      <c r="E137" s="5"/>
      <c r="J137" s="5"/>
      <c r="K137" s="5">
        <f t="shared" si="4"/>
        <v>0</v>
      </c>
    </row>
    <row r="138" spans="5:11">
      <c r="E138" s="5"/>
      <c r="J138" s="5"/>
      <c r="K138" s="5">
        <f t="shared" si="4"/>
        <v>0</v>
      </c>
    </row>
    <row r="139" spans="5:11">
      <c r="E139" s="5"/>
      <c r="J139" s="5"/>
      <c r="K139" s="5">
        <f t="shared" si="4"/>
        <v>0</v>
      </c>
    </row>
    <row r="140" spans="5:11">
      <c r="E140" s="5"/>
      <c r="J140" s="5"/>
      <c r="K140" s="5">
        <f t="shared" si="4"/>
        <v>0</v>
      </c>
    </row>
    <row r="141" spans="5:11">
      <c r="E141" s="5"/>
      <c r="J141" s="5"/>
      <c r="K141" s="5">
        <f t="shared" si="4"/>
        <v>0</v>
      </c>
    </row>
    <row r="142" spans="5:11">
      <c r="E142" s="5"/>
      <c r="J142" s="5"/>
      <c r="K142" s="5">
        <f t="shared" si="4"/>
        <v>0</v>
      </c>
    </row>
    <row r="143" spans="5:11">
      <c r="E143" s="5"/>
      <c r="J143" s="5"/>
      <c r="K143" s="5">
        <f t="shared" si="4"/>
        <v>0</v>
      </c>
    </row>
    <row r="144" spans="5:11">
      <c r="E144" s="5"/>
      <c r="J144" s="5"/>
      <c r="K144" s="5">
        <f t="shared" si="4"/>
        <v>0</v>
      </c>
    </row>
    <row r="145" spans="5:11">
      <c r="E145" s="5"/>
      <c r="J145" s="5"/>
      <c r="K145" s="5">
        <f t="shared" si="4"/>
        <v>0</v>
      </c>
    </row>
    <row r="146" spans="5:11">
      <c r="E146" s="5"/>
      <c r="J146" s="5"/>
      <c r="K146" s="5">
        <f t="shared" si="4"/>
        <v>0</v>
      </c>
    </row>
    <row r="147" spans="5:11">
      <c r="E147" s="5"/>
      <c r="J147" s="5"/>
      <c r="K147" s="5">
        <f t="shared" si="4"/>
        <v>0</v>
      </c>
    </row>
    <row r="148" spans="5:11">
      <c r="E148" s="5"/>
      <c r="J148" s="5"/>
      <c r="K148" s="5">
        <f t="shared" si="4"/>
        <v>0</v>
      </c>
    </row>
    <row r="149" spans="5:11">
      <c r="E149" s="5"/>
      <c r="J149" s="5"/>
      <c r="K149" s="5">
        <f t="shared" si="4"/>
        <v>0</v>
      </c>
    </row>
    <row r="150" spans="5:11">
      <c r="E150" s="5"/>
      <c r="J150" s="5"/>
      <c r="K150" s="5">
        <f t="shared" si="4"/>
        <v>0</v>
      </c>
    </row>
    <row r="151" spans="5:11">
      <c r="E151" s="5"/>
      <c r="J151" s="5"/>
      <c r="K151" s="5">
        <f t="shared" si="4"/>
        <v>0</v>
      </c>
    </row>
    <row r="152" spans="5:11">
      <c r="E152" s="5"/>
      <c r="J152" s="5"/>
      <c r="K152" s="5">
        <f t="shared" si="4"/>
        <v>0</v>
      </c>
    </row>
    <row r="153" spans="5:11">
      <c r="E153" s="5"/>
      <c r="J153" s="5"/>
      <c r="K153" s="5">
        <f t="shared" si="4"/>
        <v>0</v>
      </c>
    </row>
    <row r="154" spans="5:11">
      <c r="E154" s="5"/>
      <c r="J154" s="5"/>
      <c r="K154" s="5">
        <f t="shared" si="4"/>
        <v>0</v>
      </c>
    </row>
    <row r="155" spans="5:11">
      <c r="E155" s="5"/>
      <c r="J155" s="5"/>
      <c r="K155" s="5">
        <f t="shared" si="4"/>
        <v>0</v>
      </c>
    </row>
    <row r="156" spans="5:11">
      <c r="E156" s="5"/>
      <c r="J156" s="5"/>
      <c r="K156" s="5">
        <f t="shared" si="4"/>
        <v>0</v>
      </c>
    </row>
    <row r="157" spans="5:11">
      <c r="E157" s="5"/>
      <c r="J157" s="5"/>
      <c r="K157" s="5">
        <f t="shared" si="4"/>
        <v>0</v>
      </c>
    </row>
    <row r="158" spans="5:11">
      <c r="E158" s="5"/>
      <c r="J158" s="5"/>
      <c r="K158" s="5">
        <f t="shared" si="4"/>
        <v>0</v>
      </c>
    </row>
    <row r="159" spans="5:11">
      <c r="E159" s="5"/>
      <c r="J159" s="5"/>
      <c r="K159" s="5">
        <f t="shared" si="4"/>
        <v>0</v>
      </c>
    </row>
    <row r="160" spans="5:11">
      <c r="E160" s="5"/>
      <c r="J160" s="5"/>
      <c r="K160" s="5">
        <f t="shared" si="4"/>
        <v>0</v>
      </c>
    </row>
    <row r="161" spans="5:11">
      <c r="E161" s="5"/>
      <c r="J161" s="5"/>
      <c r="K161" s="5">
        <f t="shared" si="4"/>
        <v>0</v>
      </c>
    </row>
    <row r="162" spans="5:11">
      <c r="E162" s="5"/>
      <c r="J162" s="5"/>
      <c r="K162" s="5">
        <f t="shared" ref="K162:K193" si="5">E162+J162</f>
        <v>0</v>
      </c>
    </row>
    <row r="163" spans="5:11">
      <c r="E163" s="5"/>
      <c r="J163" s="5"/>
      <c r="K163" s="5">
        <f t="shared" si="5"/>
        <v>0</v>
      </c>
    </row>
    <row r="164" spans="5:11">
      <c r="E164" s="5"/>
      <c r="J164" s="5"/>
      <c r="K164" s="5">
        <f t="shared" si="5"/>
        <v>0</v>
      </c>
    </row>
    <row r="165" spans="5:11">
      <c r="E165" s="5"/>
      <c r="J165" s="5"/>
      <c r="K165" s="5">
        <f t="shared" si="5"/>
        <v>0</v>
      </c>
    </row>
    <row r="166" spans="5:11">
      <c r="E166" s="5"/>
      <c r="J166" s="5"/>
      <c r="K166" s="5">
        <f t="shared" si="5"/>
        <v>0</v>
      </c>
    </row>
    <row r="167" spans="5:11">
      <c r="E167" s="5"/>
      <c r="J167" s="5"/>
      <c r="K167" s="5">
        <f t="shared" si="5"/>
        <v>0</v>
      </c>
    </row>
    <row r="168" spans="5:11">
      <c r="E168" s="5"/>
      <c r="J168" s="5"/>
      <c r="K168" s="5">
        <f t="shared" si="5"/>
        <v>0</v>
      </c>
    </row>
    <row r="169" spans="5:11">
      <c r="E169" s="5"/>
      <c r="J169" s="5"/>
      <c r="K169" s="5">
        <f t="shared" si="5"/>
        <v>0</v>
      </c>
    </row>
    <row r="170" spans="5:11">
      <c r="E170" s="5"/>
      <c r="J170" s="5"/>
      <c r="K170" s="5">
        <f t="shared" si="5"/>
        <v>0</v>
      </c>
    </row>
    <row r="171" spans="5:11">
      <c r="E171" s="5"/>
      <c r="J171" s="5"/>
      <c r="K171" s="5">
        <f t="shared" si="5"/>
        <v>0</v>
      </c>
    </row>
    <row r="172" spans="5:11">
      <c r="E172" s="5"/>
      <c r="J172" s="5"/>
      <c r="K172" s="5">
        <f t="shared" si="5"/>
        <v>0</v>
      </c>
    </row>
    <row r="173" spans="5:11">
      <c r="E173" s="5"/>
      <c r="J173" s="5"/>
      <c r="K173" s="5">
        <f t="shared" si="5"/>
        <v>0</v>
      </c>
    </row>
    <row r="174" spans="5:11">
      <c r="E174" s="5"/>
      <c r="J174" s="5"/>
      <c r="K174" s="5">
        <f t="shared" si="5"/>
        <v>0</v>
      </c>
    </row>
    <row r="175" spans="5:11">
      <c r="E175" s="5"/>
      <c r="J175" s="5"/>
      <c r="K175" s="5">
        <f t="shared" si="5"/>
        <v>0</v>
      </c>
    </row>
    <row r="176" spans="5:11">
      <c r="E176" s="5"/>
      <c r="J176" s="5"/>
      <c r="K176" s="5">
        <f t="shared" si="5"/>
        <v>0</v>
      </c>
    </row>
    <row r="177" spans="5:11">
      <c r="E177" s="5"/>
      <c r="J177" s="5"/>
      <c r="K177" s="5">
        <f t="shared" si="5"/>
        <v>0</v>
      </c>
    </row>
    <row r="178" spans="5:11">
      <c r="E178" s="5"/>
      <c r="J178" s="5"/>
      <c r="K178" s="5">
        <f t="shared" si="5"/>
        <v>0</v>
      </c>
    </row>
    <row r="179" spans="5:11">
      <c r="E179" s="5"/>
      <c r="J179" s="5"/>
      <c r="K179" s="5">
        <f t="shared" si="5"/>
        <v>0</v>
      </c>
    </row>
    <row r="180" spans="5:11">
      <c r="E180" s="5"/>
      <c r="J180" s="5"/>
      <c r="K180" s="5">
        <f t="shared" si="5"/>
        <v>0</v>
      </c>
    </row>
    <row r="181" spans="5:11">
      <c r="E181" s="5"/>
      <c r="J181" s="5"/>
      <c r="K181" s="5">
        <f t="shared" si="5"/>
        <v>0</v>
      </c>
    </row>
    <row r="182" spans="5:11">
      <c r="E182" s="5"/>
      <c r="J182" s="5"/>
      <c r="K182" s="5">
        <f t="shared" si="5"/>
        <v>0</v>
      </c>
    </row>
    <row r="183" spans="5:11">
      <c r="E183" s="5"/>
      <c r="J183" s="5"/>
      <c r="K183" s="5">
        <f t="shared" si="5"/>
        <v>0</v>
      </c>
    </row>
    <row r="184" spans="5:11">
      <c r="E184" s="5"/>
      <c r="J184" s="5"/>
      <c r="K184" s="5">
        <f t="shared" si="5"/>
        <v>0</v>
      </c>
    </row>
    <row r="185" spans="5:11">
      <c r="E185" s="5"/>
      <c r="J185" s="5"/>
      <c r="K185" s="5">
        <f t="shared" si="5"/>
        <v>0</v>
      </c>
    </row>
    <row r="186" spans="5:11">
      <c r="E186" s="5"/>
      <c r="J186" s="5"/>
      <c r="K186" s="5">
        <f t="shared" si="5"/>
        <v>0</v>
      </c>
    </row>
    <row r="187" spans="5:11">
      <c r="E187" s="5"/>
      <c r="J187" s="5"/>
      <c r="K187" s="5">
        <f t="shared" si="5"/>
        <v>0</v>
      </c>
    </row>
    <row r="188" spans="5:11">
      <c r="E188" s="5"/>
      <c r="J188" s="5"/>
      <c r="K188" s="5">
        <f t="shared" si="5"/>
        <v>0</v>
      </c>
    </row>
    <row r="189" spans="5:11">
      <c r="E189" s="5"/>
      <c r="J189" s="5"/>
      <c r="K189" s="5">
        <f t="shared" si="5"/>
        <v>0</v>
      </c>
    </row>
    <row r="190" spans="5:11">
      <c r="E190" s="5"/>
      <c r="J190" s="5"/>
      <c r="K190" s="5">
        <f t="shared" si="5"/>
        <v>0</v>
      </c>
    </row>
    <row r="191" spans="5:11">
      <c r="E191" s="5"/>
      <c r="J191" s="5"/>
      <c r="K191" s="5">
        <f t="shared" si="5"/>
        <v>0</v>
      </c>
    </row>
    <row r="192" spans="5:11">
      <c r="E192" s="5"/>
      <c r="J192" s="5"/>
      <c r="K192" s="5">
        <f t="shared" si="5"/>
        <v>0</v>
      </c>
    </row>
    <row r="193" spans="5:11">
      <c r="E193" s="5"/>
      <c r="J193" s="5"/>
      <c r="K193" s="5">
        <f t="shared" si="5"/>
        <v>0</v>
      </c>
    </row>
    <row r="194" spans="5:11">
      <c r="E194" s="5"/>
      <c r="J194" s="5"/>
      <c r="K194" s="5">
        <f t="shared" ref="K194:K225" si="6">E194+J194</f>
        <v>0</v>
      </c>
    </row>
    <row r="195" spans="5:11">
      <c r="E195" s="5"/>
      <c r="J195" s="5"/>
      <c r="K195" s="5">
        <f t="shared" si="6"/>
        <v>0</v>
      </c>
    </row>
    <row r="196" spans="5:11">
      <c r="E196" s="5"/>
      <c r="J196" s="5"/>
      <c r="K196" s="5">
        <f t="shared" si="6"/>
        <v>0</v>
      </c>
    </row>
    <row r="197" spans="5:11">
      <c r="E197" s="5"/>
      <c r="J197" s="5"/>
      <c r="K197" s="5">
        <f t="shared" si="6"/>
        <v>0</v>
      </c>
    </row>
    <row r="198" spans="5:11">
      <c r="E198" s="5"/>
      <c r="J198" s="5"/>
      <c r="K198" s="5">
        <f t="shared" si="6"/>
        <v>0</v>
      </c>
    </row>
    <row r="199" spans="5:11">
      <c r="E199" s="5"/>
      <c r="J199" s="5"/>
      <c r="K199" s="5">
        <f t="shared" si="6"/>
        <v>0</v>
      </c>
    </row>
    <row r="200" spans="5:11">
      <c r="E200" s="5"/>
      <c r="J200" s="5"/>
      <c r="K200" s="5">
        <f t="shared" si="6"/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00"/>
  <sheetViews>
    <sheetView workbookViewId="0"/>
  </sheetViews>
  <sheetFormatPr defaultRowHeight="14.25"/>
  <cols>
    <col min="1" max="12" width="18" customWidth="1"/>
    <col min="13" max="13" width="34" customWidth="1"/>
  </cols>
  <sheetData>
    <row r="1" spans="1:13" ht="15">
      <c r="A1" s="2" t="s">
        <v>672</v>
      </c>
      <c r="B1" s="2" t="s">
        <v>600</v>
      </c>
      <c r="C1" s="2" t="s">
        <v>673</v>
      </c>
      <c r="D1" s="2" t="s">
        <v>674</v>
      </c>
      <c r="E1" s="2" t="s">
        <v>675</v>
      </c>
      <c r="F1" s="2" t="s">
        <v>665</v>
      </c>
      <c r="G1" s="2" t="s">
        <v>676</v>
      </c>
      <c r="H1" s="2" t="s">
        <v>677</v>
      </c>
      <c r="I1" s="2" t="s">
        <v>678</v>
      </c>
      <c r="J1" s="2" t="s">
        <v>679</v>
      </c>
      <c r="K1" s="2" t="s">
        <v>680</v>
      </c>
      <c r="L1" s="2" t="s">
        <v>681</v>
      </c>
      <c r="M1" s="2" t="s">
        <v>36</v>
      </c>
    </row>
    <row r="2" spans="1:13" ht="28.5">
      <c r="A2" s="3" t="s">
        <v>682</v>
      </c>
      <c r="B2" s="3" t="s">
        <v>568</v>
      </c>
      <c r="C2" s="3" t="s">
        <v>683</v>
      </c>
      <c r="D2" s="3" t="s">
        <v>684</v>
      </c>
      <c r="E2" s="3" t="s">
        <v>685</v>
      </c>
      <c r="F2" s="3" t="s">
        <v>664</v>
      </c>
      <c r="G2" s="4">
        <v>2500</v>
      </c>
      <c r="H2" s="4">
        <v>1000</v>
      </c>
      <c r="I2" s="3">
        <v>12000</v>
      </c>
      <c r="J2" s="3"/>
      <c r="K2" s="3">
        <f t="shared" ref="K2:K33" si="0">IF(J2="",0,J2-I2)</f>
        <v>0</v>
      </c>
      <c r="L2" s="3" t="s">
        <v>651</v>
      </c>
      <c r="M2" s="3" t="s">
        <v>686</v>
      </c>
    </row>
    <row r="3" spans="1:13" ht="28.5">
      <c r="A3" s="3" t="s">
        <v>687</v>
      </c>
      <c r="B3" s="3" t="s">
        <v>571</v>
      </c>
      <c r="C3" s="3" t="s">
        <v>688</v>
      </c>
      <c r="D3" s="3" t="s">
        <v>689</v>
      </c>
      <c r="E3" s="3" t="s">
        <v>690</v>
      </c>
      <c r="F3" s="3" t="s">
        <v>691</v>
      </c>
      <c r="G3" s="4">
        <v>5000</v>
      </c>
      <c r="H3" s="4">
        <v>1800</v>
      </c>
      <c r="I3" s="3">
        <v>24500</v>
      </c>
      <c r="J3" s="3"/>
      <c r="K3" s="3">
        <f t="shared" si="0"/>
        <v>0</v>
      </c>
      <c r="L3" s="3" t="s">
        <v>651</v>
      </c>
      <c r="M3" s="3" t="s">
        <v>692</v>
      </c>
    </row>
    <row r="4" spans="1:13" ht="28.5">
      <c r="A4" s="3" t="s">
        <v>693</v>
      </c>
      <c r="B4" s="3" t="s">
        <v>574</v>
      </c>
      <c r="C4" s="3" t="s">
        <v>694</v>
      </c>
      <c r="D4" s="3" t="s">
        <v>695</v>
      </c>
      <c r="E4" s="3" t="s">
        <v>696</v>
      </c>
      <c r="F4" s="3" t="s">
        <v>697</v>
      </c>
      <c r="G4" s="4">
        <v>1000</v>
      </c>
      <c r="H4" s="4">
        <v>300</v>
      </c>
      <c r="I4" s="3">
        <v>8800</v>
      </c>
      <c r="J4" s="3"/>
      <c r="K4" s="3">
        <f t="shared" si="0"/>
        <v>0</v>
      </c>
      <c r="L4" s="3" t="s">
        <v>651</v>
      </c>
      <c r="M4" s="3" t="s">
        <v>698</v>
      </c>
    </row>
    <row r="5" spans="1:13" ht="28.5">
      <c r="A5" s="3" t="s">
        <v>699</v>
      </c>
      <c r="B5" s="3" t="s">
        <v>576</v>
      </c>
      <c r="C5" s="3" t="s">
        <v>700</v>
      </c>
      <c r="D5" s="3" t="s">
        <v>701</v>
      </c>
      <c r="E5" s="3" t="s">
        <v>702</v>
      </c>
      <c r="F5" s="3" t="s">
        <v>703</v>
      </c>
      <c r="G5" s="4">
        <v>800</v>
      </c>
      <c r="H5" s="4">
        <v>0</v>
      </c>
      <c r="I5" s="3">
        <v>5300</v>
      </c>
      <c r="J5" s="3"/>
      <c r="K5" s="3">
        <f t="shared" si="0"/>
        <v>0</v>
      </c>
      <c r="L5" s="3" t="s">
        <v>704</v>
      </c>
      <c r="M5" s="3" t="s">
        <v>705</v>
      </c>
    </row>
    <row r="6" spans="1:13">
      <c r="A6" s="3" t="s">
        <v>706</v>
      </c>
      <c r="B6" s="3" t="s">
        <v>580</v>
      </c>
      <c r="C6" s="3" t="s">
        <v>694</v>
      </c>
      <c r="D6" s="3" t="s">
        <v>707</v>
      </c>
      <c r="E6" s="3" t="s">
        <v>708</v>
      </c>
      <c r="F6" s="3" t="s">
        <v>697</v>
      </c>
      <c r="G6" s="4">
        <v>1200</v>
      </c>
      <c r="H6" s="4">
        <v>0</v>
      </c>
      <c r="I6" s="3">
        <v>9100</v>
      </c>
      <c r="J6" s="3"/>
      <c r="K6" s="3">
        <f t="shared" si="0"/>
        <v>0</v>
      </c>
      <c r="L6" s="3" t="s">
        <v>651</v>
      </c>
      <c r="M6" s="3" t="s">
        <v>709</v>
      </c>
    </row>
    <row r="7" spans="1:13">
      <c r="G7" s="5"/>
      <c r="H7" s="5"/>
      <c r="K7">
        <f t="shared" si="0"/>
        <v>0</v>
      </c>
    </row>
    <row r="8" spans="1:13">
      <c r="G8" s="5"/>
      <c r="H8" s="5"/>
      <c r="K8">
        <f t="shared" si="0"/>
        <v>0</v>
      </c>
    </row>
    <row r="9" spans="1:13">
      <c r="G9" s="5"/>
      <c r="H9" s="5"/>
      <c r="K9">
        <f t="shared" si="0"/>
        <v>0</v>
      </c>
    </row>
    <row r="10" spans="1:13">
      <c r="G10" s="5"/>
      <c r="H10" s="5"/>
      <c r="K10">
        <f t="shared" si="0"/>
        <v>0</v>
      </c>
    </row>
    <row r="11" spans="1:13">
      <c r="G11" s="5"/>
      <c r="H11" s="5"/>
      <c r="K11">
        <f t="shared" si="0"/>
        <v>0</v>
      </c>
    </row>
    <row r="12" spans="1:13">
      <c r="G12" s="5"/>
      <c r="H12" s="5"/>
      <c r="K12">
        <f t="shared" si="0"/>
        <v>0</v>
      </c>
    </row>
    <row r="13" spans="1:13">
      <c r="G13" s="5"/>
      <c r="H13" s="5"/>
      <c r="K13">
        <f t="shared" si="0"/>
        <v>0</v>
      </c>
    </row>
    <row r="14" spans="1:13">
      <c r="G14" s="5"/>
      <c r="H14" s="5"/>
      <c r="K14">
        <f t="shared" si="0"/>
        <v>0</v>
      </c>
    </row>
    <row r="15" spans="1:13">
      <c r="G15" s="5"/>
      <c r="H15" s="5"/>
      <c r="K15">
        <f t="shared" si="0"/>
        <v>0</v>
      </c>
    </row>
    <row r="16" spans="1:13">
      <c r="G16" s="5"/>
      <c r="H16" s="5"/>
      <c r="K16">
        <f t="shared" si="0"/>
        <v>0</v>
      </c>
    </row>
    <row r="17" spans="7:11">
      <c r="G17" s="5"/>
      <c r="H17" s="5"/>
      <c r="K17">
        <f t="shared" si="0"/>
        <v>0</v>
      </c>
    </row>
    <row r="18" spans="7:11">
      <c r="G18" s="5"/>
      <c r="H18" s="5"/>
      <c r="K18">
        <f t="shared" si="0"/>
        <v>0</v>
      </c>
    </row>
    <row r="19" spans="7:11">
      <c r="G19" s="5"/>
      <c r="H19" s="5"/>
      <c r="K19">
        <f t="shared" si="0"/>
        <v>0</v>
      </c>
    </row>
    <row r="20" spans="7:11">
      <c r="G20" s="5"/>
      <c r="H20" s="5"/>
      <c r="K20">
        <f t="shared" si="0"/>
        <v>0</v>
      </c>
    </row>
    <row r="21" spans="7:11">
      <c r="G21" s="5"/>
      <c r="H21" s="5"/>
      <c r="K21">
        <f t="shared" si="0"/>
        <v>0</v>
      </c>
    </row>
    <row r="22" spans="7:11">
      <c r="G22" s="5"/>
      <c r="H22" s="5"/>
      <c r="K22">
        <f t="shared" si="0"/>
        <v>0</v>
      </c>
    </row>
    <row r="23" spans="7:11">
      <c r="G23" s="5"/>
      <c r="H23" s="5"/>
      <c r="K23">
        <f t="shared" si="0"/>
        <v>0</v>
      </c>
    </row>
    <row r="24" spans="7:11">
      <c r="G24" s="5"/>
      <c r="H24" s="5"/>
      <c r="K24">
        <f t="shared" si="0"/>
        <v>0</v>
      </c>
    </row>
    <row r="25" spans="7:11">
      <c r="G25" s="5"/>
      <c r="H25" s="5"/>
      <c r="K25">
        <f t="shared" si="0"/>
        <v>0</v>
      </c>
    </row>
    <row r="26" spans="7:11">
      <c r="G26" s="5"/>
      <c r="H26" s="5"/>
      <c r="K26">
        <f t="shared" si="0"/>
        <v>0</v>
      </c>
    </row>
    <row r="27" spans="7:11">
      <c r="G27" s="5"/>
      <c r="H27" s="5"/>
      <c r="K27">
        <f t="shared" si="0"/>
        <v>0</v>
      </c>
    </row>
    <row r="28" spans="7:11">
      <c r="G28" s="5"/>
      <c r="H28" s="5"/>
      <c r="K28">
        <f t="shared" si="0"/>
        <v>0</v>
      </c>
    </row>
    <row r="29" spans="7:11">
      <c r="G29" s="5"/>
      <c r="H29" s="5"/>
      <c r="K29">
        <f t="shared" si="0"/>
        <v>0</v>
      </c>
    </row>
    <row r="30" spans="7:11">
      <c r="G30" s="5"/>
      <c r="H30" s="5"/>
      <c r="K30">
        <f t="shared" si="0"/>
        <v>0</v>
      </c>
    </row>
    <row r="31" spans="7:11">
      <c r="G31" s="5"/>
      <c r="H31" s="5"/>
      <c r="K31">
        <f t="shared" si="0"/>
        <v>0</v>
      </c>
    </row>
    <row r="32" spans="7:11">
      <c r="G32" s="5"/>
      <c r="H32" s="5"/>
      <c r="K32">
        <f t="shared" si="0"/>
        <v>0</v>
      </c>
    </row>
    <row r="33" spans="7:11">
      <c r="G33" s="5"/>
      <c r="H33" s="5"/>
      <c r="K33">
        <f t="shared" si="0"/>
        <v>0</v>
      </c>
    </row>
    <row r="34" spans="7:11">
      <c r="G34" s="5"/>
      <c r="H34" s="5"/>
      <c r="K34">
        <f t="shared" ref="K34:K65" si="1">IF(J34="",0,J34-I34)</f>
        <v>0</v>
      </c>
    </row>
    <row r="35" spans="7:11">
      <c r="G35" s="5"/>
      <c r="H35" s="5"/>
      <c r="K35">
        <f t="shared" si="1"/>
        <v>0</v>
      </c>
    </row>
    <row r="36" spans="7:11">
      <c r="G36" s="5"/>
      <c r="H36" s="5"/>
      <c r="K36">
        <f t="shared" si="1"/>
        <v>0</v>
      </c>
    </row>
    <row r="37" spans="7:11">
      <c r="G37" s="5"/>
      <c r="H37" s="5"/>
      <c r="K37">
        <f t="shared" si="1"/>
        <v>0</v>
      </c>
    </row>
    <row r="38" spans="7:11">
      <c r="G38" s="5"/>
      <c r="H38" s="5"/>
      <c r="K38">
        <f t="shared" si="1"/>
        <v>0</v>
      </c>
    </row>
    <row r="39" spans="7:11">
      <c r="G39" s="5"/>
      <c r="H39" s="5"/>
      <c r="K39">
        <f t="shared" si="1"/>
        <v>0</v>
      </c>
    </row>
    <row r="40" spans="7:11">
      <c r="G40" s="5"/>
      <c r="H40" s="5"/>
      <c r="K40">
        <f t="shared" si="1"/>
        <v>0</v>
      </c>
    </row>
    <row r="41" spans="7:11">
      <c r="G41" s="5"/>
      <c r="H41" s="5"/>
      <c r="K41">
        <f t="shared" si="1"/>
        <v>0</v>
      </c>
    </row>
    <row r="42" spans="7:11">
      <c r="G42" s="5"/>
      <c r="H42" s="5"/>
      <c r="K42">
        <f t="shared" si="1"/>
        <v>0</v>
      </c>
    </row>
    <row r="43" spans="7:11">
      <c r="G43" s="5"/>
      <c r="H43" s="5"/>
      <c r="K43">
        <f t="shared" si="1"/>
        <v>0</v>
      </c>
    </row>
    <row r="44" spans="7:11">
      <c r="G44" s="5"/>
      <c r="H44" s="5"/>
      <c r="K44">
        <f t="shared" si="1"/>
        <v>0</v>
      </c>
    </row>
    <row r="45" spans="7:11">
      <c r="G45" s="5"/>
      <c r="H45" s="5"/>
      <c r="K45">
        <f t="shared" si="1"/>
        <v>0</v>
      </c>
    </row>
    <row r="46" spans="7:11">
      <c r="G46" s="5"/>
      <c r="H46" s="5"/>
      <c r="K46">
        <f t="shared" si="1"/>
        <v>0</v>
      </c>
    </row>
    <row r="47" spans="7:11">
      <c r="G47" s="5"/>
      <c r="H47" s="5"/>
      <c r="K47">
        <f t="shared" si="1"/>
        <v>0</v>
      </c>
    </row>
    <row r="48" spans="7:11">
      <c r="G48" s="5"/>
      <c r="H48" s="5"/>
      <c r="K48">
        <f t="shared" si="1"/>
        <v>0</v>
      </c>
    </row>
    <row r="49" spans="7:11">
      <c r="G49" s="5"/>
      <c r="H49" s="5"/>
      <c r="K49">
        <f t="shared" si="1"/>
        <v>0</v>
      </c>
    </row>
    <row r="50" spans="7:11">
      <c r="G50" s="5"/>
      <c r="H50" s="5"/>
      <c r="K50">
        <f t="shared" si="1"/>
        <v>0</v>
      </c>
    </row>
    <row r="51" spans="7:11">
      <c r="G51" s="5"/>
      <c r="H51" s="5"/>
      <c r="K51">
        <f t="shared" si="1"/>
        <v>0</v>
      </c>
    </row>
    <row r="52" spans="7:11">
      <c r="G52" s="5"/>
      <c r="H52" s="5"/>
      <c r="K52">
        <f t="shared" si="1"/>
        <v>0</v>
      </c>
    </row>
    <row r="53" spans="7:11">
      <c r="G53" s="5"/>
      <c r="H53" s="5"/>
      <c r="K53">
        <f t="shared" si="1"/>
        <v>0</v>
      </c>
    </row>
    <row r="54" spans="7:11">
      <c r="G54" s="5"/>
      <c r="H54" s="5"/>
      <c r="K54">
        <f t="shared" si="1"/>
        <v>0</v>
      </c>
    </row>
    <row r="55" spans="7:11">
      <c r="G55" s="5"/>
      <c r="H55" s="5"/>
      <c r="K55">
        <f t="shared" si="1"/>
        <v>0</v>
      </c>
    </row>
    <row r="56" spans="7:11">
      <c r="G56" s="5"/>
      <c r="H56" s="5"/>
      <c r="K56">
        <f t="shared" si="1"/>
        <v>0</v>
      </c>
    </row>
    <row r="57" spans="7:11">
      <c r="G57" s="5"/>
      <c r="H57" s="5"/>
      <c r="K57">
        <f t="shared" si="1"/>
        <v>0</v>
      </c>
    </row>
    <row r="58" spans="7:11">
      <c r="G58" s="5"/>
      <c r="H58" s="5"/>
      <c r="K58">
        <f t="shared" si="1"/>
        <v>0</v>
      </c>
    </row>
    <row r="59" spans="7:11">
      <c r="G59" s="5"/>
      <c r="H59" s="5"/>
      <c r="K59">
        <f t="shared" si="1"/>
        <v>0</v>
      </c>
    </row>
    <row r="60" spans="7:11">
      <c r="G60" s="5"/>
      <c r="H60" s="5"/>
      <c r="K60">
        <f t="shared" si="1"/>
        <v>0</v>
      </c>
    </row>
    <row r="61" spans="7:11">
      <c r="G61" s="5"/>
      <c r="H61" s="5"/>
      <c r="K61">
        <f t="shared" si="1"/>
        <v>0</v>
      </c>
    </row>
    <row r="62" spans="7:11">
      <c r="G62" s="5"/>
      <c r="H62" s="5"/>
      <c r="K62">
        <f t="shared" si="1"/>
        <v>0</v>
      </c>
    </row>
    <row r="63" spans="7:11">
      <c r="G63" s="5"/>
      <c r="H63" s="5"/>
      <c r="K63">
        <f t="shared" si="1"/>
        <v>0</v>
      </c>
    </row>
    <row r="64" spans="7:11">
      <c r="G64" s="5"/>
      <c r="H64" s="5"/>
      <c r="K64">
        <f t="shared" si="1"/>
        <v>0</v>
      </c>
    </row>
    <row r="65" spans="7:11">
      <c r="G65" s="5"/>
      <c r="H65" s="5"/>
      <c r="K65">
        <f t="shared" si="1"/>
        <v>0</v>
      </c>
    </row>
    <row r="66" spans="7:11">
      <c r="G66" s="5"/>
      <c r="H66" s="5"/>
      <c r="K66">
        <f t="shared" ref="K66:K97" si="2">IF(J66="",0,J66-I66)</f>
        <v>0</v>
      </c>
    </row>
    <row r="67" spans="7:11">
      <c r="G67" s="5"/>
      <c r="H67" s="5"/>
      <c r="K67">
        <f t="shared" si="2"/>
        <v>0</v>
      </c>
    </row>
    <row r="68" spans="7:11">
      <c r="G68" s="5"/>
      <c r="H68" s="5"/>
      <c r="K68">
        <f t="shared" si="2"/>
        <v>0</v>
      </c>
    </row>
    <row r="69" spans="7:11">
      <c r="G69" s="5"/>
      <c r="H69" s="5"/>
      <c r="K69">
        <f t="shared" si="2"/>
        <v>0</v>
      </c>
    </row>
    <row r="70" spans="7:11">
      <c r="G70" s="5"/>
      <c r="H70" s="5"/>
      <c r="K70">
        <f t="shared" si="2"/>
        <v>0</v>
      </c>
    </row>
    <row r="71" spans="7:11">
      <c r="G71" s="5"/>
      <c r="H71" s="5"/>
      <c r="K71">
        <f t="shared" si="2"/>
        <v>0</v>
      </c>
    </row>
    <row r="72" spans="7:11">
      <c r="G72" s="5"/>
      <c r="H72" s="5"/>
      <c r="K72">
        <f t="shared" si="2"/>
        <v>0</v>
      </c>
    </row>
    <row r="73" spans="7:11">
      <c r="G73" s="5"/>
      <c r="H73" s="5"/>
      <c r="K73">
        <f t="shared" si="2"/>
        <v>0</v>
      </c>
    </row>
    <row r="74" spans="7:11">
      <c r="G74" s="5"/>
      <c r="H74" s="5"/>
      <c r="K74">
        <f t="shared" si="2"/>
        <v>0</v>
      </c>
    </row>
    <row r="75" spans="7:11">
      <c r="G75" s="5"/>
      <c r="H75" s="5"/>
      <c r="K75">
        <f t="shared" si="2"/>
        <v>0</v>
      </c>
    </row>
    <row r="76" spans="7:11">
      <c r="G76" s="5"/>
      <c r="H76" s="5"/>
      <c r="K76">
        <f t="shared" si="2"/>
        <v>0</v>
      </c>
    </row>
    <row r="77" spans="7:11">
      <c r="G77" s="5"/>
      <c r="H77" s="5"/>
      <c r="K77">
        <f t="shared" si="2"/>
        <v>0</v>
      </c>
    </row>
    <row r="78" spans="7:11">
      <c r="G78" s="5"/>
      <c r="H78" s="5"/>
      <c r="K78">
        <f t="shared" si="2"/>
        <v>0</v>
      </c>
    </row>
    <row r="79" spans="7:11">
      <c r="G79" s="5"/>
      <c r="H79" s="5"/>
      <c r="K79">
        <f t="shared" si="2"/>
        <v>0</v>
      </c>
    </row>
    <row r="80" spans="7:11">
      <c r="G80" s="5"/>
      <c r="H80" s="5"/>
      <c r="K80">
        <f t="shared" si="2"/>
        <v>0</v>
      </c>
    </row>
    <row r="81" spans="7:11">
      <c r="G81" s="5"/>
      <c r="H81" s="5"/>
      <c r="K81">
        <f t="shared" si="2"/>
        <v>0</v>
      </c>
    </row>
    <row r="82" spans="7:11">
      <c r="G82" s="5"/>
      <c r="H82" s="5"/>
      <c r="K82">
        <f t="shared" si="2"/>
        <v>0</v>
      </c>
    </row>
    <row r="83" spans="7:11">
      <c r="G83" s="5"/>
      <c r="H83" s="5"/>
      <c r="K83">
        <f t="shared" si="2"/>
        <v>0</v>
      </c>
    </row>
    <row r="84" spans="7:11">
      <c r="G84" s="5"/>
      <c r="H84" s="5"/>
      <c r="K84">
        <f t="shared" si="2"/>
        <v>0</v>
      </c>
    </row>
    <row r="85" spans="7:11">
      <c r="G85" s="5"/>
      <c r="H85" s="5"/>
      <c r="K85">
        <f t="shared" si="2"/>
        <v>0</v>
      </c>
    </row>
    <row r="86" spans="7:11">
      <c r="G86" s="5"/>
      <c r="H86" s="5"/>
      <c r="K86">
        <f t="shared" si="2"/>
        <v>0</v>
      </c>
    </row>
    <row r="87" spans="7:11">
      <c r="G87" s="5"/>
      <c r="H87" s="5"/>
      <c r="K87">
        <f t="shared" si="2"/>
        <v>0</v>
      </c>
    </row>
    <row r="88" spans="7:11">
      <c r="G88" s="5"/>
      <c r="H88" s="5"/>
      <c r="K88">
        <f t="shared" si="2"/>
        <v>0</v>
      </c>
    </row>
    <row r="89" spans="7:11">
      <c r="G89" s="5"/>
      <c r="H89" s="5"/>
      <c r="K89">
        <f t="shared" si="2"/>
        <v>0</v>
      </c>
    </row>
    <row r="90" spans="7:11">
      <c r="G90" s="5"/>
      <c r="H90" s="5"/>
      <c r="K90">
        <f t="shared" si="2"/>
        <v>0</v>
      </c>
    </row>
    <row r="91" spans="7:11">
      <c r="G91" s="5"/>
      <c r="H91" s="5"/>
      <c r="K91">
        <f t="shared" si="2"/>
        <v>0</v>
      </c>
    </row>
    <row r="92" spans="7:11">
      <c r="G92" s="5"/>
      <c r="H92" s="5"/>
      <c r="K92">
        <f t="shared" si="2"/>
        <v>0</v>
      </c>
    </row>
    <row r="93" spans="7:11">
      <c r="G93" s="5"/>
      <c r="H93" s="5"/>
      <c r="K93">
        <f t="shared" si="2"/>
        <v>0</v>
      </c>
    </row>
    <row r="94" spans="7:11">
      <c r="G94" s="5"/>
      <c r="H94" s="5"/>
      <c r="K94">
        <f t="shared" si="2"/>
        <v>0</v>
      </c>
    </row>
    <row r="95" spans="7:11">
      <c r="G95" s="5"/>
      <c r="H95" s="5"/>
      <c r="K95">
        <f t="shared" si="2"/>
        <v>0</v>
      </c>
    </row>
    <row r="96" spans="7:11">
      <c r="G96" s="5"/>
      <c r="H96" s="5"/>
      <c r="K96">
        <f t="shared" si="2"/>
        <v>0</v>
      </c>
    </row>
    <row r="97" spans="7:11">
      <c r="G97" s="5"/>
      <c r="H97" s="5"/>
      <c r="K97">
        <f t="shared" si="2"/>
        <v>0</v>
      </c>
    </row>
    <row r="98" spans="7:11">
      <c r="G98" s="5"/>
      <c r="H98" s="5"/>
      <c r="K98">
        <f t="shared" ref="K98:K129" si="3">IF(J98="",0,J98-I98)</f>
        <v>0</v>
      </c>
    </row>
    <row r="99" spans="7:11">
      <c r="G99" s="5"/>
      <c r="H99" s="5"/>
      <c r="K99">
        <f t="shared" si="3"/>
        <v>0</v>
      </c>
    </row>
    <row r="100" spans="7:11">
      <c r="G100" s="5"/>
      <c r="H100" s="5"/>
      <c r="K100">
        <f t="shared" si="3"/>
        <v>0</v>
      </c>
    </row>
    <row r="101" spans="7:11">
      <c r="G101" s="5"/>
      <c r="H101" s="5"/>
      <c r="K101">
        <f t="shared" si="3"/>
        <v>0</v>
      </c>
    </row>
    <row r="102" spans="7:11">
      <c r="G102" s="5"/>
      <c r="H102" s="5"/>
      <c r="K102">
        <f t="shared" si="3"/>
        <v>0</v>
      </c>
    </row>
    <row r="103" spans="7:11">
      <c r="G103" s="5"/>
      <c r="H103" s="5"/>
      <c r="K103">
        <f t="shared" si="3"/>
        <v>0</v>
      </c>
    </row>
    <row r="104" spans="7:11">
      <c r="G104" s="5"/>
      <c r="H104" s="5"/>
      <c r="K104">
        <f t="shared" si="3"/>
        <v>0</v>
      </c>
    </row>
    <row r="105" spans="7:11">
      <c r="G105" s="5"/>
      <c r="H105" s="5"/>
      <c r="K105">
        <f t="shared" si="3"/>
        <v>0</v>
      </c>
    </row>
    <row r="106" spans="7:11">
      <c r="G106" s="5"/>
      <c r="H106" s="5"/>
      <c r="K106">
        <f t="shared" si="3"/>
        <v>0</v>
      </c>
    </row>
    <row r="107" spans="7:11">
      <c r="G107" s="5"/>
      <c r="H107" s="5"/>
      <c r="K107">
        <f t="shared" si="3"/>
        <v>0</v>
      </c>
    </row>
    <row r="108" spans="7:11">
      <c r="G108" s="5"/>
      <c r="H108" s="5"/>
      <c r="K108">
        <f t="shared" si="3"/>
        <v>0</v>
      </c>
    </row>
    <row r="109" spans="7:11">
      <c r="G109" s="5"/>
      <c r="H109" s="5"/>
      <c r="K109">
        <f t="shared" si="3"/>
        <v>0</v>
      </c>
    </row>
    <row r="110" spans="7:11">
      <c r="G110" s="5"/>
      <c r="H110" s="5"/>
      <c r="K110">
        <f t="shared" si="3"/>
        <v>0</v>
      </c>
    </row>
    <row r="111" spans="7:11">
      <c r="G111" s="5"/>
      <c r="H111" s="5"/>
      <c r="K111">
        <f t="shared" si="3"/>
        <v>0</v>
      </c>
    </row>
    <row r="112" spans="7:11">
      <c r="G112" s="5"/>
      <c r="H112" s="5"/>
      <c r="K112">
        <f t="shared" si="3"/>
        <v>0</v>
      </c>
    </row>
    <row r="113" spans="7:11">
      <c r="G113" s="5"/>
      <c r="H113" s="5"/>
      <c r="K113">
        <f t="shared" si="3"/>
        <v>0</v>
      </c>
    </row>
    <row r="114" spans="7:11">
      <c r="G114" s="5"/>
      <c r="H114" s="5"/>
      <c r="K114">
        <f t="shared" si="3"/>
        <v>0</v>
      </c>
    </row>
    <row r="115" spans="7:11">
      <c r="G115" s="5"/>
      <c r="H115" s="5"/>
      <c r="K115">
        <f t="shared" si="3"/>
        <v>0</v>
      </c>
    </row>
    <row r="116" spans="7:11">
      <c r="G116" s="5"/>
      <c r="H116" s="5"/>
      <c r="K116">
        <f t="shared" si="3"/>
        <v>0</v>
      </c>
    </row>
    <row r="117" spans="7:11">
      <c r="G117" s="5"/>
      <c r="H117" s="5"/>
      <c r="K117">
        <f t="shared" si="3"/>
        <v>0</v>
      </c>
    </row>
    <row r="118" spans="7:11">
      <c r="G118" s="5"/>
      <c r="H118" s="5"/>
      <c r="K118">
        <f t="shared" si="3"/>
        <v>0</v>
      </c>
    </row>
    <row r="119" spans="7:11">
      <c r="G119" s="5"/>
      <c r="H119" s="5"/>
      <c r="K119">
        <f t="shared" si="3"/>
        <v>0</v>
      </c>
    </row>
    <row r="120" spans="7:11">
      <c r="G120" s="5"/>
      <c r="H120" s="5"/>
      <c r="K120">
        <f t="shared" si="3"/>
        <v>0</v>
      </c>
    </row>
    <row r="121" spans="7:11">
      <c r="G121" s="5"/>
      <c r="H121" s="5"/>
      <c r="K121">
        <f t="shared" si="3"/>
        <v>0</v>
      </c>
    </row>
    <row r="122" spans="7:11">
      <c r="G122" s="5"/>
      <c r="H122" s="5"/>
      <c r="K122">
        <f t="shared" si="3"/>
        <v>0</v>
      </c>
    </row>
    <row r="123" spans="7:11">
      <c r="G123" s="5"/>
      <c r="H123" s="5"/>
      <c r="K123">
        <f t="shared" si="3"/>
        <v>0</v>
      </c>
    </row>
    <row r="124" spans="7:11">
      <c r="G124" s="5"/>
      <c r="H124" s="5"/>
      <c r="K124">
        <f t="shared" si="3"/>
        <v>0</v>
      </c>
    </row>
    <row r="125" spans="7:11">
      <c r="G125" s="5"/>
      <c r="H125" s="5"/>
      <c r="K125">
        <f t="shared" si="3"/>
        <v>0</v>
      </c>
    </row>
    <row r="126" spans="7:11">
      <c r="G126" s="5"/>
      <c r="H126" s="5"/>
      <c r="K126">
        <f t="shared" si="3"/>
        <v>0</v>
      </c>
    </row>
    <row r="127" spans="7:11">
      <c r="G127" s="5"/>
      <c r="H127" s="5"/>
      <c r="K127">
        <f t="shared" si="3"/>
        <v>0</v>
      </c>
    </row>
    <row r="128" spans="7:11">
      <c r="G128" s="5"/>
      <c r="H128" s="5"/>
      <c r="K128">
        <f t="shared" si="3"/>
        <v>0</v>
      </c>
    </row>
    <row r="129" spans="7:11">
      <c r="G129" s="5"/>
      <c r="H129" s="5"/>
      <c r="K129">
        <f t="shared" si="3"/>
        <v>0</v>
      </c>
    </row>
    <row r="130" spans="7:11">
      <c r="G130" s="5"/>
      <c r="H130" s="5"/>
      <c r="K130">
        <f t="shared" ref="K130:K161" si="4">IF(J130="",0,J130-I130)</f>
        <v>0</v>
      </c>
    </row>
    <row r="131" spans="7:11">
      <c r="G131" s="5"/>
      <c r="H131" s="5"/>
      <c r="K131">
        <f t="shared" si="4"/>
        <v>0</v>
      </c>
    </row>
    <row r="132" spans="7:11">
      <c r="G132" s="5"/>
      <c r="H132" s="5"/>
      <c r="K132">
        <f t="shared" si="4"/>
        <v>0</v>
      </c>
    </row>
    <row r="133" spans="7:11">
      <c r="G133" s="5"/>
      <c r="H133" s="5"/>
      <c r="K133">
        <f t="shared" si="4"/>
        <v>0</v>
      </c>
    </row>
    <row r="134" spans="7:11">
      <c r="G134" s="5"/>
      <c r="H134" s="5"/>
      <c r="K134">
        <f t="shared" si="4"/>
        <v>0</v>
      </c>
    </row>
    <row r="135" spans="7:11">
      <c r="G135" s="5"/>
      <c r="H135" s="5"/>
      <c r="K135">
        <f t="shared" si="4"/>
        <v>0</v>
      </c>
    </row>
    <row r="136" spans="7:11">
      <c r="G136" s="5"/>
      <c r="H136" s="5"/>
      <c r="K136">
        <f t="shared" si="4"/>
        <v>0</v>
      </c>
    </row>
    <row r="137" spans="7:11">
      <c r="G137" s="5"/>
      <c r="H137" s="5"/>
      <c r="K137">
        <f t="shared" si="4"/>
        <v>0</v>
      </c>
    </row>
    <row r="138" spans="7:11">
      <c r="G138" s="5"/>
      <c r="H138" s="5"/>
      <c r="K138">
        <f t="shared" si="4"/>
        <v>0</v>
      </c>
    </row>
    <row r="139" spans="7:11">
      <c r="G139" s="5"/>
      <c r="H139" s="5"/>
      <c r="K139">
        <f t="shared" si="4"/>
        <v>0</v>
      </c>
    </row>
    <row r="140" spans="7:11">
      <c r="G140" s="5"/>
      <c r="H140" s="5"/>
      <c r="K140">
        <f t="shared" si="4"/>
        <v>0</v>
      </c>
    </row>
    <row r="141" spans="7:11">
      <c r="G141" s="5"/>
      <c r="H141" s="5"/>
      <c r="K141">
        <f t="shared" si="4"/>
        <v>0</v>
      </c>
    </row>
    <row r="142" spans="7:11">
      <c r="G142" s="5"/>
      <c r="H142" s="5"/>
      <c r="K142">
        <f t="shared" si="4"/>
        <v>0</v>
      </c>
    </row>
    <row r="143" spans="7:11">
      <c r="G143" s="5"/>
      <c r="H143" s="5"/>
      <c r="K143">
        <f t="shared" si="4"/>
        <v>0</v>
      </c>
    </row>
    <row r="144" spans="7:11">
      <c r="G144" s="5"/>
      <c r="H144" s="5"/>
      <c r="K144">
        <f t="shared" si="4"/>
        <v>0</v>
      </c>
    </row>
    <row r="145" spans="7:11">
      <c r="G145" s="5"/>
      <c r="H145" s="5"/>
      <c r="K145">
        <f t="shared" si="4"/>
        <v>0</v>
      </c>
    </row>
    <row r="146" spans="7:11">
      <c r="G146" s="5"/>
      <c r="H146" s="5"/>
      <c r="K146">
        <f t="shared" si="4"/>
        <v>0</v>
      </c>
    </row>
    <row r="147" spans="7:11">
      <c r="G147" s="5"/>
      <c r="H147" s="5"/>
      <c r="K147">
        <f t="shared" si="4"/>
        <v>0</v>
      </c>
    </row>
    <row r="148" spans="7:11">
      <c r="G148" s="5"/>
      <c r="H148" s="5"/>
      <c r="K148">
        <f t="shared" si="4"/>
        <v>0</v>
      </c>
    </row>
    <row r="149" spans="7:11">
      <c r="G149" s="5"/>
      <c r="H149" s="5"/>
      <c r="K149">
        <f t="shared" si="4"/>
        <v>0</v>
      </c>
    </row>
    <row r="150" spans="7:11">
      <c r="G150" s="5"/>
      <c r="H150" s="5"/>
      <c r="K150">
        <f t="shared" si="4"/>
        <v>0</v>
      </c>
    </row>
    <row r="151" spans="7:11">
      <c r="G151" s="5"/>
      <c r="H151" s="5"/>
      <c r="K151">
        <f t="shared" si="4"/>
        <v>0</v>
      </c>
    </row>
    <row r="152" spans="7:11">
      <c r="G152" s="5"/>
      <c r="H152" s="5"/>
      <c r="K152">
        <f t="shared" si="4"/>
        <v>0</v>
      </c>
    </row>
    <row r="153" spans="7:11">
      <c r="G153" s="5"/>
      <c r="H153" s="5"/>
      <c r="K153">
        <f t="shared" si="4"/>
        <v>0</v>
      </c>
    </row>
    <row r="154" spans="7:11">
      <c r="G154" s="5"/>
      <c r="H154" s="5"/>
      <c r="K154">
        <f t="shared" si="4"/>
        <v>0</v>
      </c>
    </row>
    <row r="155" spans="7:11">
      <c r="G155" s="5"/>
      <c r="H155" s="5"/>
      <c r="K155">
        <f t="shared" si="4"/>
        <v>0</v>
      </c>
    </row>
    <row r="156" spans="7:11">
      <c r="G156" s="5"/>
      <c r="H156" s="5"/>
      <c r="K156">
        <f t="shared" si="4"/>
        <v>0</v>
      </c>
    </row>
    <row r="157" spans="7:11">
      <c r="G157" s="5"/>
      <c r="H157" s="5"/>
      <c r="K157">
        <f t="shared" si="4"/>
        <v>0</v>
      </c>
    </row>
    <row r="158" spans="7:11">
      <c r="G158" s="5"/>
      <c r="H158" s="5"/>
      <c r="K158">
        <f t="shared" si="4"/>
        <v>0</v>
      </c>
    </row>
    <row r="159" spans="7:11">
      <c r="G159" s="5"/>
      <c r="H159" s="5"/>
      <c r="K159">
        <f t="shared" si="4"/>
        <v>0</v>
      </c>
    </row>
    <row r="160" spans="7:11">
      <c r="G160" s="5"/>
      <c r="H160" s="5"/>
      <c r="K160">
        <f t="shared" si="4"/>
        <v>0</v>
      </c>
    </row>
    <row r="161" spans="7:11">
      <c r="G161" s="5"/>
      <c r="H161" s="5"/>
      <c r="K161">
        <f t="shared" si="4"/>
        <v>0</v>
      </c>
    </row>
    <row r="162" spans="7:11">
      <c r="G162" s="5"/>
      <c r="H162" s="5"/>
      <c r="K162">
        <f t="shared" ref="K162:K193" si="5">IF(J162="",0,J162-I162)</f>
        <v>0</v>
      </c>
    </row>
    <row r="163" spans="7:11">
      <c r="G163" s="5"/>
      <c r="H163" s="5"/>
      <c r="K163">
        <f t="shared" si="5"/>
        <v>0</v>
      </c>
    </row>
    <row r="164" spans="7:11">
      <c r="G164" s="5"/>
      <c r="H164" s="5"/>
      <c r="K164">
        <f t="shared" si="5"/>
        <v>0</v>
      </c>
    </row>
    <row r="165" spans="7:11">
      <c r="G165" s="5"/>
      <c r="H165" s="5"/>
      <c r="K165">
        <f t="shared" si="5"/>
        <v>0</v>
      </c>
    </row>
    <row r="166" spans="7:11">
      <c r="G166" s="5"/>
      <c r="H166" s="5"/>
      <c r="K166">
        <f t="shared" si="5"/>
        <v>0</v>
      </c>
    </row>
    <row r="167" spans="7:11">
      <c r="G167" s="5"/>
      <c r="H167" s="5"/>
      <c r="K167">
        <f t="shared" si="5"/>
        <v>0</v>
      </c>
    </row>
    <row r="168" spans="7:11">
      <c r="G168" s="5"/>
      <c r="H168" s="5"/>
      <c r="K168">
        <f t="shared" si="5"/>
        <v>0</v>
      </c>
    </row>
    <row r="169" spans="7:11">
      <c r="G169" s="5"/>
      <c r="H169" s="5"/>
      <c r="K169">
        <f t="shared" si="5"/>
        <v>0</v>
      </c>
    </row>
    <row r="170" spans="7:11">
      <c r="G170" s="5"/>
      <c r="H170" s="5"/>
      <c r="K170">
        <f t="shared" si="5"/>
        <v>0</v>
      </c>
    </row>
    <row r="171" spans="7:11">
      <c r="G171" s="5"/>
      <c r="H171" s="5"/>
      <c r="K171">
        <f t="shared" si="5"/>
        <v>0</v>
      </c>
    </row>
    <row r="172" spans="7:11">
      <c r="G172" s="5"/>
      <c r="H172" s="5"/>
      <c r="K172">
        <f t="shared" si="5"/>
        <v>0</v>
      </c>
    </row>
    <row r="173" spans="7:11">
      <c r="G173" s="5"/>
      <c r="H173" s="5"/>
      <c r="K173">
        <f t="shared" si="5"/>
        <v>0</v>
      </c>
    </row>
    <row r="174" spans="7:11">
      <c r="G174" s="5"/>
      <c r="H174" s="5"/>
      <c r="K174">
        <f t="shared" si="5"/>
        <v>0</v>
      </c>
    </row>
    <row r="175" spans="7:11">
      <c r="G175" s="5"/>
      <c r="H175" s="5"/>
      <c r="K175">
        <f t="shared" si="5"/>
        <v>0</v>
      </c>
    </row>
    <row r="176" spans="7:11">
      <c r="G176" s="5"/>
      <c r="H176" s="5"/>
      <c r="K176">
        <f t="shared" si="5"/>
        <v>0</v>
      </c>
    </row>
    <row r="177" spans="7:11">
      <c r="G177" s="5"/>
      <c r="H177" s="5"/>
      <c r="K177">
        <f t="shared" si="5"/>
        <v>0</v>
      </c>
    </row>
    <row r="178" spans="7:11">
      <c r="G178" s="5"/>
      <c r="H178" s="5"/>
      <c r="K178">
        <f t="shared" si="5"/>
        <v>0</v>
      </c>
    </row>
    <row r="179" spans="7:11">
      <c r="G179" s="5"/>
      <c r="H179" s="5"/>
      <c r="K179">
        <f t="shared" si="5"/>
        <v>0</v>
      </c>
    </row>
    <row r="180" spans="7:11">
      <c r="G180" s="5"/>
      <c r="H180" s="5"/>
      <c r="K180">
        <f t="shared" si="5"/>
        <v>0</v>
      </c>
    </row>
    <row r="181" spans="7:11">
      <c r="G181" s="5"/>
      <c r="H181" s="5"/>
      <c r="K181">
        <f t="shared" si="5"/>
        <v>0</v>
      </c>
    </row>
    <row r="182" spans="7:11">
      <c r="G182" s="5"/>
      <c r="H182" s="5"/>
      <c r="K182">
        <f t="shared" si="5"/>
        <v>0</v>
      </c>
    </row>
    <row r="183" spans="7:11">
      <c r="G183" s="5"/>
      <c r="H183" s="5"/>
      <c r="K183">
        <f t="shared" si="5"/>
        <v>0</v>
      </c>
    </row>
    <row r="184" spans="7:11">
      <c r="G184" s="5"/>
      <c r="H184" s="5"/>
      <c r="K184">
        <f t="shared" si="5"/>
        <v>0</v>
      </c>
    </row>
    <row r="185" spans="7:11">
      <c r="G185" s="5"/>
      <c r="H185" s="5"/>
      <c r="K185">
        <f t="shared" si="5"/>
        <v>0</v>
      </c>
    </row>
    <row r="186" spans="7:11">
      <c r="G186" s="5"/>
      <c r="H186" s="5"/>
      <c r="K186">
        <f t="shared" si="5"/>
        <v>0</v>
      </c>
    </row>
    <row r="187" spans="7:11">
      <c r="G187" s="5"/>
      <c r="H187" s="5"/>
      <c r="K187">
        <f t="shared" si="5"/>
        <v>0</v>
      </c>
    </row>
    <row r="188" spans="7:11">
      <c r="G188" s="5"/>
      <c r="H188" s="5"/>
      <c r="K188">
        <f t="shared" si="5"/>
        <v>0</v>
      </c>
    </row>
    <row r="189" spans="7:11">
      <c r="G189" s="5"/>
      <c r="H189" s="5"/>
      <c r="K189">
        <f t="shared" si="5"/>
        <v>0</v>
      </c>
    </row>
    <row r="190" spans="7:11">
      <c r="G190" s="5"/>
      <c r="H190" s="5"/>
      <c r="K190">
        <f t="shared" si="5"/>
        <v>0</v>
      </c>
    </row>
    <row r="191" spans="7:11">
      <c r="G191" s="5"/>
      <c r="H191" s="5"/>
      <c r="K191">
        <f t="shared" si="5"/>
        <v>0</v>
      </c>
    </row>
    <row r="192" spans="7:11">
      <c r="G192" s="5"/>
      <c r="H192" s="5"/>
      <c r="K192">
        <f t="shared" si="5"/>
        <v>0</v>
      </c>
    </row>
    <row r="193" spans="7:11">
      <c r="G193" s="5"/>
      <c r="H193" s="5"/>
      <c r="K193">
        <f t="shared" si="5"/>
        <v>0</v>
      </c>
    </row>
    <row r="194" spans="7:11">
      <c r="G194" s="5"/>
      <c r="H194" s="5"/>
      <c r="K194">
        <f t="shared" ref="K194:K225" si="6">IF(J194="",0,J194-I194)</f>
        <v>0</v>
      </c>
    </row>
    <row r="195" spans="7:11">
      <c r="G195" s="5"/>
      <c r="H195" s="5"/>
      <c r="K195">
        <f t="shared" si="6"/>
        <v>0</v>
      </c>
    </row>
    <row r="196" spans="7:11">
      <c r="G196" s="5"/>
      <c r="H196" s="5"/>
      <c r="K196">
        <f t="shared" si="6"/>
        <v>0</v>
      </c>
    </row>
    <row r="197" spans="7:11">
      <c r="G197" s="5"/>
      <c r="H197" s="5"/>
      <c r="K197">
        <f t="shared" si="6"/>
        <v>0</v>
      </c>
    </row>
    <row r="198" spans="7:11">
      <c r="G198" s="5"/>
      <c r="H198" s="5"/>
      <c r="K198">
        <f t="shared" si="6"/>
        <v>0</v>
      </c>
    </row>
    <row r="199" spans="7:11">
      <c r="G199" s="5"/>
      <c r="H199" s="5"/>
      <c r="K199">
        <f t="shared" si="6"/>
        <v>0</v>
      </c>
    </row>
    <row r="200" spans="7:11">
      <c r="G200" s="5"/>
      <c r="H200" s="5"/>
      <c r="K200">
        <f t="shared" si="6"/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"/>
  <sheetViews>
    <sheetView workbookViewId="0"/>
  </sheetViews>
  <sheetFormatPr defaultRowHeight="14.25"/>
  <cols>
    <col min="1" max="8" width="18" customWidth="1"/>
    <col min="9" max="9" width="34" customWidth="1"/>
  </cols>
  <sheetData>
    <row r="1" spans="1:9" ht="30">
      <c r="A1" s="2" t="s">
        <v>710</v>
      </c>
      <c r="B1" s="2" t="s">
        <v>600</v>
      </c>
      <c r="C1" s="2" t="s">
        <v>224</v>
      </c>
      <c r="D1" s="2" t="s">
        <v>711</v>
      </c>
      <c r="E1" s="2" t="s">
        <v>712</v>
      </c>
      <c r="F1" s="2" t="s">
        <v>713</v>
      </c>
      <c r="G1" s="2" t="s">
        <v>147</v>
      </c>
      <c r="H1" s="2" t="s">
        <v>714</v>
      </c>
      <c r="I1" s="2" t="s">
        <v>36</v>
      </c>
    </row>
    <row r="2" spans="1:9" ht="28.5">
      <c r="A2" s="3" t="s">
        <v>715</v>
      </c>
      <c r="B2" s="3" t="s">
        <v>568</v>
      </c>
      <c r="C2" s="3" t="s">
        <v>716</v>
      </c>
      <c r="D2" s="3" t="s">
        <v>717</v>
      </c>
      <c r="E2" s="3" t="s">
        <v>344</v>
      </c>
      <c r="F2" s="3" t="s">
        <v>605</v>
      </c>
      <c r="G2" s="3" t="s">
        <v>718</v>
      </c>
      <c r="H2" s="3" t="s">
        <v>719</v>
      </c>
      <c r="I2" s="3"/>
    </row>
    <row r="3" spans="1:9" ht="42.75">
      <c r="A3" s="3" t="s">
        <v>720</v>
      </c>
      <c r="B3" s="3" t="s">
        <v>568</v>
      </c>
      <c r="C3" s="3" t="s">
        <v>716</v>
      </c>
      <c r="D3" s="3" t="s">
        <v>721</v>
      </c>
      <c r="E3" s="3" t="s">
        <v>344</v>
      </c>
      <c r="F3" s="3" t="s">
        <v>290</v>
      </c>
      <c r="G3" s="3" t="s">
        <v>718</v>
      </c>
      <c r="H3" s="3" t="s">
        <v>722</v>
      </c>
      <c r="I3" s="3" t="s">
        <v>723</v>
      </c>
    </row>
    <row r="4" spans="1:9" ht="28.5">
      <c r="A4" s="3" t="s">
        <v>724</v>
      </c>
      <c r="B4" s="3" t="s">
        <v>568</v>
      </c>
      <c r="C4" s="3" t="s">
        <v>67</v>
      </c>
      <c r="D4" s="3" t="s">
        <v>725</v>
      </c>
      <c r="E4" s="3" t="s">
        <v>344</v>
      </c>
      <c r="F4" s="3" t="s">
        <v>290</v>
      </c>
      <c r="G4" s="3" t="s">
        <v>718</v>
      </c>
      <c r="H4" s="3" t="s">
        <v>726</v>
      </c>
      <c r="I4" s="3"/>
    </row>
    <row r="5" spans="1:9" ht="28.5">
      <c r="A5" s="3" t="s">
        <v>727</v>
      </c>
      <c r="B5" s="3" t="s">
        <v>568</v>
      </c>
      <c r="C5" s="3" t="s">
        <v>67</v>
      </c>
      <c r="D5" s="3" t="s">
        <v>728</v>
      </c>
      <c r="E5" s="3" t="s">
        <v>344</v>
      </c>
      <c r="F5" s="3" t="s">
        <v>290</v>
      </c>
      <c r="G5" s="3" t="s">
        <v>729</v>
      </c>
      <c r="H5" s="3" t="s">
        <v>726</v>
      </c>
      <c r="I5" s="3"/>
    </row>
    <row r="6" spans="1:9" ht="28.5">
      <c r="A6" s="3" t="s">
        <v>730</v>
      </c>
      <c r="B6" s="3" t="s">
        <v>568</v>
      </c>
      <c r="C6" s="3" t="s">
        <v>67</v>
      </c>
      <c r="D6" s="3" t="s">
        <v>731</v>
      </c>
      <c r="E6" s="3" t="s">
        <v>344</v>
      </c>
      <c r="F6" s="3" t="s">
        <v>290</v>
      </c>
      <c r="G6" s="3" t="s">
        <v>126</v>
      </c>
      <c r="H6" s="3" t="s">
        <v>732</v>
      </c>
      <c r="I6" s="3"/>
    </row>
    <row r="7" spans="1:9" ht="28.5">
      <c r="A7" s="3" t="s">
        <v>733</v>
      </c>
      <c r="B7" s="3" t="s">
        <v>568</v>
      </c>
      <c r="C7" s="3" t="s">
        <v>734</v>
      </c>
      <c r="D7" s="3" t="s">
        <v>735</v>
      </c>
      <c r="E7" s="3" t="s">
        <v>344</v>
      </c>
      <c r="F7" s="3" t="s">
        <v>605</v>
      </c>
      <c r="G7" s="3" t="s">
        <v>126</v>
      </c>
      <c r="H7" s="3" t="s">
        <v>736</v>
      </c>
      <c r="I7" s="3"/>
    </row>
    <row r="8" spans="1:9" ht="42.75">
      <c r="A8" s="3" t="s">
        <v>737</v>
      </c>
      <c r="B8" s="3" t="s">
        <v>571</v>
      </c>
      <c r="C8" s="3" t="s">
        <v>716</v>
      </c>
      <c r="D8" s="3" t="s">
        <v>738</v>
      </c>
      <c r="E8" s="3" t="s">
        <v>344</v>
      </c>
      <c r="F8" s="3" t="s">
        <v>605</v>
      </c>
      <c r="G8" s="3" t="s">
        <v>126</v>
      </c>
      <c r="H8" s="3" t="s">
        <v>739</v>
      </c>
      <c r="I8" s="3" t="s">
        <v>740</v>
      </c>
    </row>
    <row r="9" spans="1:9" ht="28.5">
      <c r="A9" s="3" t="s">
        <v>741</v>
      </c>
      <c r="B9" s="3" t="s">
        <v>578</v>
      </c>
      <c r="C9" s="3" t="s">
        <v>67</v>
      </c>
      <c r="D9" s="3" t="s">
        <v>742</v>
      </c>
      <c r="E9" s="3" t="s">
        <v>344</v>
      </c>
      <c r="F9" s="3" t="s">
        <v>290</v>
      </c>
      <c r="G9" s="3" t="s">
        <v>126</v>
      </c>
      <c r="H9" s="3" t="s">
        <v>726</v>
      </c>
      <c r="I9" s="3"/>
    </row>
  </sheetData>
  <dataValidations count="1">
    <dataValidation type="list" sqref="G2:G200" xr:uid="{00000000-0002-0000-0E00-000000000000}">
      <formula1>"New Lead,Contacted,Inspection Scheduled,Quotation Issued,Agreement Sent,Agreement Signed,Deposit Received,Work Order Created,Scheduled,Confirmed,Packing,Loading,In Transit,Delivery,Completed,Closed,Pending,Open,Paid,Unpaid,Partial"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"/>
  <sheetViews>
    <sheetView workbookViewId="0"/>
  </sheetViews>
  <sheetFormatPr defaultRowHeight="14.25"/>
  <cols>
    <col min="1" max="7" width="18" customWidth="1"/>
    <col min="8" max="8" width="34" customWidth="1"/>
  </cols>
  <sheetData>
    <row r="1" spans="1:8" ht="30">
      <c r="A1" s="2" t="s">
        <v>710</v>
      </c>
      <c r="B1" s="2" t="s">
        <v>600</v>
      </c>
      <c r="C1" s="2" t="s">
        <v>711</v>
      </c>
      <c r="D1" s="2" t="s">
        <v>712</v>
      </c>
      <c r="E1" s="2" t="s">
        <v>713</v>
      </c>
      <c r="F1" s="2" t="s">
        <v>147</v>
      </c>
      <c r="G1" s="2" t="s">
        <v>714</v>
      </c>
      <c r="H1" s="2" t="s">
        <v>36</v>
      </c>
    </row>
    <row r="2" spans="1:8" ht="28.5">
      <c r="A2" s="3" t="s">
        <v>743</v>
      </c>
      <c r="B2" s="3" t="s">
        <v>568</v>
      </c>
      <c r="C2" s="3" t="s">
        <v>744</v>
      </c>
      <c r="D2" s="3" t="s">
        <v>344</v>
      </c>
      <c r="E2" s="3" t="s">
        <v>304</v>
      </c>
      <c r="F2" s="3" t="s">
        <v>126</v>
      </c>
      <c r="G2" s="3" t="s">
        <v>745</v>
      </c>
      <c r="H2" s="3"/>
    </row>
    <row r="3" spans="1:8" ht="28.5">
      <c r="A3" s="3" t="s">
        <v>746</v>
      </c>
      <c r="B3" s="3" t="s">
        <v>568</v>
      </c>
      <c r="C3" s="3" t="s">
        <v>747</v>
      </c>
      <c r="D3" s="3" t="s">
        <v>344</v>
      </c>
      <c r="E3" s="3" t="s">
        <v>605</v>
      </c>
      <c r="F3" s="3" t="s">
        <v>126</v>
      </c>
      <c r="G3" s="3" t="s">
        <v>748</v>
      </c>
      <c r="H3" s="3" t="s">
        <v>749</v>
      </c>
    </row>
    <row r="4" spans="1:8" ht="28.5">
      <c r="A4" s="3" t="s">
        <v>750</v>
      </c>
      <c r="B4" s="3" t="s">
        <v>568</v>
      </c>
      <c r="C4" s="3" t="s">
        <v>751</v>
      </c>
      <c r="D4" s="3" t="s">
        <v>344</v>
      </c>
      <c r="E4" s="3" t="s">
        <v>605</v>
      </c>
      <c r="F4" s="3" t="s">
        <v>126</v>
      </c>
      <c r="G4" s="3" t="s">
        <v>726</v>
      </c>
      <c r="H4" s="3"/>
    </row>
    <row r="5" spans="1:8" ht="28.5">
      <c r="A5" s="3" t="s">
        <v>752</v>
      </c>
      <c r="B5" s="3" t="s">
        <v>568</v>
      </c>
      <c r="C5" s="3" t="s">
        <v>753</v>
      </c>
      <c r="D5" s="3" t="s">
        <v>344</v>
      </c>
      <c r="E5" s="3" t="s">
        <v>605</v>
      </c>
      <c r="F5" s="3" t="s">
        <v>126</v>
      </c>
      <c r="G5" s="3" t="s">
        <v>754</v>
      </c>
      <c r="H5" s="3"/>
    </row>
    <row r="6" spans="1:8" ht="28.5">
      <c r="A6" s="3" t="s">
        <v>755</v>
      </c>
      <c r="B6" s="3" t="s">
        <v>568</v>
      </c>
      <c r="C6" s="3" t="s">
        <v>756</v>
      </c>
      <c r="D6" s="3" t="s">
        <v>344</v>
      </c>
      <c r="E6" s="3" t="s">
        <v>605</v>
      </c>
      <c r="F6" s="3" t="s">
        <v>126</v>
      </c>
      <c r="G6" s="3" t="s">
        <v>726</v>
      </c>
      <c r="H6" s="3"/>
    </row>
    <row r="7" spans="1:8" ht="28.5">
      <c r="A7" s="3" t="s">
        <v>757</v>
      </c>
      <c r="B7" s="3" t="s">
        <v>568</v>
      </c>
      <c r="C7" s="3" t="s">
        <v>758</v>
      </c>
      <c r="D7" s="3" t="s">
        <v>344</v>
      </c>
      <c r="E7" s="3" t="s">
        <v>605</v>
      </c>
      <c r="F7" s="3" t="s">
        <v>126</v>
      </c>
      <c r="G7" s="3" t="s">
        <v>759</v>
      </c>
      <c r="H7" s="3"/>
    </row>
    <row r="8" spans="1:8" ht="28.5">
      <c r="A8" s="3" t="s">
        <v>760</v>
      </c>
      <c r="B8" s="3" t="s">
        <v>571</v>
      </c>
      <c r="C8" s="3" t="s">
        <v>761</v>
      </c>
      <c r="D8" s="3" t="s">
        <v>344</v>
      </c>
      <c r="E8" s="3" t="s">
        <v>605</v>
      </c>
      <c r="F8" s="3" t="s">
        <v>126</v>
      </c>
      <c r="G8" s="3" t="s">
        <v>726</v>
      </c>
      <c r="H8" s="3" t="s">
        <v>762</v>
      </c>
    </row>
  </sheetData>
  <dataValidations count="1">
    <dataValidation type="list" sqref="F2:F200" xr:uid="{00000000-0002-0000-0F00-000000000000}">
      <formula1>"New Lead,Contacted,Inspection Scheduled,Quotation Issued,Agreement Sent,Agreement Signed,Deposit Received,Work Order Created,Scheduled,Confirmed,Packing,Loading,In Transit,Delivery,Completed,Closed,Pending,Open,Paid,Unpaid,Partial"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8"/>
  <sheetViews>
    <sheetView workbookViewId="0"/>
  </sheetViews>
  <sheetFormatPr defaultRowHeight="14.25"/>
  <cols>
    <col min="1" max="11" width="18" customWidth="1"/>
    <col min="12" max="12" width="34" customWidth="1"/>
  </cols>
  <sheetData>
    <row r="1" spans="1:12" ht="15">
      <c r="A1" s="2" t="s">
        <v>763</v>
      </c>
      <c r="B1" s="2" t="s">
        <v>600</v>
      </c>
      <c r="C1" s="2" t="s">
        <v>138</v>
      </c>
      <c r="D1" s="2" t="s">
        <v>764</v>
      </c>
      <c r="E1" s="2" t="s">
        <v>765</v>
      </c>
      <c r="F1" s="2" t="s">
        <v>766</v>
      </c>
      <c r="G1" s="2" t="s">
        <v>767</v>
      </c>
      <c r="H1" s="2" t="s">
        <v>768</v>
      </c>
      <c r="I1" s="2" t="s">
        <v>769</v>
      </c>
      <c r="J1" s="2" t="s">
        <v>770</v>
      </c>
      <c r="K1" s="2" t="s">
        <v>771</v>
      </c>
      <c r="L1" s="2" t="s">
        <v>36</v>
      </c>
    </row>
    <row r="2" spans="1:12">
      <c r="A2" s="3" t="s">
        <v>772</v>
      </c>
      <c r="B2" s="3" t="s">
        <v>568</v>
      </c>
      <c r="C2" s="3" t="s">
        <v>152</v>
      </c>
      <c r="D2" s="3" t="s">
        <v>773</v>
      </c>
      <c r="E2" s="3" t="s">
        <v>608</v>
      </c>
      <c r="F2" s="3"/>
      <c r="G2" s="3" t="s">
        <v>609</v>
      </c>
      <c r="H2" s="3" t="s">
        <v>605</v>
      </c>
      <c r="I2" s="3" t="s">
        <v>345</v>
      </c>
      <c r="J2" s="3"/>
      <c r="K2" s="3" t="s">
        <v>345</v>
      </c>
      <c r="L2" s="3"/>
    </row>
    <row r="3" spans="1:12">
      <c r="A3" s="3" t="s">
        <v>774</v>
      </c>
      <c r="B3" s="3" t="s">
        <v>568</v>
      </c>
      <c r="C3" s="3" t="s">
        <v>152</v>
      </c>
      <c r="D3" s="3" t="s">
        <v>775</v>
      </c>
      <c r="E3" s="3" t="s">
        <v>627</v>
      </c>
      <c r="F3" s="3"/>
      <c r="G3" s="3" t="s">
        <v>609</v>
      </c>
      <c r="H3" s="3" t="s">
        <v>605</v>
      </c>
      <c r="I3" s="3" t="s">
        <v>345</v>
      </c>
      <c r="J3" s="3"/>
      <c r="K3" s="3" t="s">
        <v>345</v>
      </c>
      <c r="L3" s="3"/>
    </row>
    <row r="4" spans="1:12">
      <c r="A4" s="3" t="s">
        <v>776</v>
      </c>
      <c r="B4" s="3" t="s">
        <v>568</v>
      </c>
      <c r="C4" s="3" t="s">
        <v>152</v>
      </c>
      <c r="D4" s="3" t="s">
        <v>777</v>
      </c>
      <c r="E4" s="3" t="s">
        <v>778</v>
      </c>
      <c r="F4" s="3"/>
      <c r="G4" s="3" t="s">
        <v>779</v>
      </c>
      <c r="H4" s="3" t="s">
        <v>665</v>
      </c>
      <c r="I4" s="3" t="s">
        <v>345</v>
      </c>
      <c r="J4" s="3"/>
      <c r="K4" s="3" t="s">
        <v>345</v>
      </c>
      <c r="L4" s="3"/>
    </row>
    <row r="5" spans="1:12">
      <c r="A5" s="3" t="s">
        <v>780</v>
      </c>
      <c r="B5" s="3" t="s">
        <v>568</v>
      </c>
      <c r="C5" s="3" t="s">
        <v>152</v>
      </c>
      <c r="D5" s="3" t="s">
        <v>781</v>
      </c>
      <c r="E5" s="3" t="s">
        <v>782</v>
      </c>
      <c r="F5" s="3"/>
      <c r="G5" s="3" t="s">
        <v>783</v>
      </c>
      <c r="H5" s="3" t="s">
        <v>665</v>
      </c>
      <c r="I5" s="3" t="s">
        <v>345</v>
      </c>
      <c r="J5" s="3"/>
      <c r="K5" s="3" t="s">
        <v>345</v>
      </c>
      <c r="L5" s="3"/>
    </row>
    <row r="6" spans="1:12">
      <c r="A6" s="3" t="s">
        <v>784</v>
      </c>
      <c r="B6" s="3" t="s">
        <v>568</v>
      </c>
      <c r="C6" s="3" t="s">
        <v>152</v>
      </c>
      <c r="D6" s="3" t="s">
        <v>785</v>
      </c>
      <c r="E6" s="3" t="s">
        <v>786</v>
      </c>
      <c r="F6" s="3"/>
      <c r="G6" s="3" t="s">
        <v>157</v>
      </c>
      <c r="H6" s="3" t="s">
        <v>665</v>
      </c>
      <c r="I6" s="3" t="s">
        <v>345</v>
      </c>
      <c r="J6" s="3"/>
      <c r="K6" s="3" t="s">
        <v>345</v>
      </c>
      <c r="L6" s="3"/>
    </row>
    <row r="7" spans="1:12">
      <c r="A7" s="3" t="s">
        <v>787</v>
      </c>
      <c r="B7" s="3" t="s">
        <v>571</v>
      </c>
      <c r="C7" s="3" t="s">
        <v>166</v>
      </c>
      <c r="D7" s="3" t="s">
        <v>788</v>
      </c>
      <c r="E7" s="3" t="s">
        <v>615</v>
      </c>
      <c r="F7" s="3"/>
      <c r="G7" s="3" t="s">
        <v>789</v>
      </c>
      <c r="H7" s="3" t="s">
        <v>605</v>
      </c>
      <c r="I7" s="3" t="s">
        <v>345</v>
      </c>
      <c r="J7" s="3"/>
      <c r="K7" s="3" t="s">
        <v>345</v>
      </c>
      <c r="L7" s="3"/>
    </row>
    <row r="8" spans="1:12" ht="28.5">
      <c r="A8" s="3" t="s">
        <v>790</v>
      </c>
      <c r="B8" s="3" t="s">
        <v>580</v>
      </c>
      <c r="C8" s="3" t="s">
        <v>214</v>
      </c>
      <c r="D8" s="3" t="s">
        <v>791</v>
      </c>
      <c r="E8" s="3" t="s">
        <v>792</v>
      </c>
      <c r="F8" s="3"/>
      <c r="G8" s="3" t="s">
        <v>793</v>
      </c>
      <c r="H8" s="3" t="s">
        <v>665</v>
      </c>
      <c r="I8" s="3" t="s">
        <v>345</v>
      </c>
      <c r="J8" s="3"/>
      <c r="K8" s="3" t="s">
        <v>345</v>
      </c>
      <c r="L8" s="3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"/>
  <sheetViews>
    <sheetView workbookViewId="0"/>
  </sheetViews>
  <sheetFormatPr defaultRowHeight="14.25"/>
  <cols>
    <col min="1" max="7" width="18" customWidth="1"/>
    <col min="8" max="8" width="34" customWidth="1"/>
  </cols>
  <sheetData>
    <row r="1" spans="1:8" ht="30">
      <c r="A1" s="2" t="s">
        <v>710</v>
      </c>
      <c r="B1" s="2" t="s">
        <v>600</v>
      </c>
      <c r="C1" s="2" t="s">
        <v>711</v>
      </c>
      <c r="D1" s="2" t="s">
        <v>712</v>
      </c>
      <c r="E1" s="2" t="s">
        <v>713</v>
      </c>
      <c r="F1" s="2" t="s">
        <v>147</v>
      </c>
      <c r="G1" s="2" t="s">
        <v>714</v>
      </c>
      <c r="H1" s="2" t="s">
        <v>36</v>
      </c>
    </row>
    <row r="2" spans="1:8" ht="42.75">
      <c r="A2" s="3" t="s">
        <v>794</v>
      </c>
      <c r="B2" s="3" t="s">
        <v>568</v>
      </c>
      <c r="C2" s="3" t="s">
        <v>795</v>
      </c>
      <c r="D2" s="3" t="s">
        <v>344</v>
      </c>
      <c r="E2" s="3" t="s">
        <v>283</v>
      </c>
      <c r="F2" s="3" t="s">
        <v>126</v>
      </c>
      <c r="G2" s="3" t="s">
        <v>796</v>
      </c>
      <c r="H2" s="3"/>
    </row>
    <row r="3" spans="1:8" ht="28.5">
      <c r="A3" s="3" t="s">
        <v>797</v>
      </c>
      <c r="B3" s="3" t="s">
        <v>568</v>
      </c>
      <c r="C3" s="3" t="s">
        <v>798</v>
      </c>
      <c r="D3" s="3" t="s">
        <v>344</v>
      </c>
      <c r="E3" s="3" t="s">
        <v>603</v>
      </c>
      <c r="F3" s="3" t="s">
        <v>126</v>
      </c>
      <c r="G3" s="3" t="s">
        <v>799</v>
      </c>
      <c r="H3" s="3"/>
    </row>
    <row r="4" spans="1:8" ht="28.5">
      <c r="A4" s="3" t="s">
        <v>800</v>
      </c>
      <c r="B4" s="3" t="s">
        <v>568</v>
      </c>
      <c r="C4" s="3" t="s">
        <v>801</v>
      </c>
      <c r="D4" s="3" t="s">
        <v>344</v>
      </c>
      <c r="E4" s="3" t="s">
        <v>605</v>
      </c>
      <c r="F4" s="3" t="s">
        <v>126</v>
      </c>
      <c r="G4" s="3" t="s">
        <v>802</v>
      </c>
      <c r="H4" s="3"/>
    </row>
    <row r="5" spans="1:8" ht="28.5">
      <c r="A5" s="3" t="s">
        <v>803</v>
      </c>
      <c r="B5" s="3" t="s">
        <v>568</v>
      </c>
      <c r="C5" s="3" t="s">
        <v>804</v>
      </c>
      <c r="D5" s="3" t="s">
        <v>805</v>
      </c>
      <c r="E5" s="3" t="s">
        <v>603</v>
      </c>
      <c r="F5" s="3" t="s">
        <v>126</v>
      </c>
      <c r="G5" s="3" t="s">
        <v>796</v>
      </c>
      <c r="H5" s="3"/>
    </row>
    <row r="6" spans="1:8" ht="28.5">
      <c r="A6" s="3" t="s">
        <v>806</v>
      </c>
      <c r="B6" s="3" t="s">
        <v>568</v>
      </c>
      <c r="C6" s="3" t="s">
        <v>807</v>
      </c>
      <c r="D6" s="3" t="s">
        <v>344</v>
      </c>
      <c r="E6" s="3" t="s">
        <v>808</v>
      </c>
      <c r="F6" s="3" t="s">
        <v>126</v>
      </c>
      <c r="G6" s="3" t="s">
        <v>809</v>
      </c>
      <c r="H6" s="3"/>
    </row>
    <row r="7" spans="1:8" ht="42.75">
      <c r="A7" s="3" t="s">
        <v>810</v>
      </c>
      <c r="B7" s="3" t="s">
        <v>568</v>
      </c>
      <c r="C7" s="3" t="s">
        <v>811</v>
      </c>
      <c r="D7" s="3" t="s">
        <v>344</v>
      </c>
      <c r="E7" s="3" t="s">
        <v>253</v>
      </c>
      <c r="F7" s="3" t="s">
        <v>126</v>
      </c>
      <c r="G7" s="3" t="s">
        <v>267</v>
      </c>
      <c r="H7" s="3"/>
    </row>
    <row r="8" spans="1:8" ht="28.5">
      <c r="A8" s="3" t="s">
        <v>812</v>
      </c>
      <c r="B8" s="3" t="s">
        <v>568</v>
      </c>
      <c r="C8" s="3" t="s">
        <v>813</v>
      </c>
      <c r="D8" s="3" t="s">
        <v>344</v>
      </c>
      <c r="E8" s="3" t="s">
        <v>605</v>
      </c>
      <c r="F8" s="3" t="s">
        <v>126</v>
      </c>
      <c r="G8" s="3" t="s">
        <v>814</v>
      </c>
      <c r="H8" s="3"/>
    </row>
    <row r="9" spans="1:8" ht="42.75">
      <c r="A9" s="3" t="s">
        <v>815</v>
      </c>
      <c r="B9" s="3" t="s">
        <v>571</v>
      </c>
      <c r="C9" s="3" t="s">
        <v>816</v>
      </c>
      <c r="D9" s="3" t="s">
        <v>344</v>
      </c>
      <c r="E9" s="3" t="s">
        <v>605</v>
      </c>
      <c r="F9" s="3" t="s">
        <v>126</v>
      </c>
      <c r="G9" s="3" t="s">
        <v>817</v>
      </c>
      <c r="H9" s="3" t="s">
        <v>662</v>
      </c>
    </row>
  </sheetData>
  <dataValidations count="1">
    <dataValidation type="list" sqref="F2:F200" xr:uid="{00000000-0002-0000-1100-000000000000}">
      <formula1>"New Lead,Contacted,Inspection Scheduled,Quotation Issued,Agreement Sent,Agreement Signed,Deposit Received,Work Order Created,Scheduled,Confirmed,Packing,Loading,In Transit,Delivery,Completed,Closed,Pending,Open,Paid,Unpaid,Partial"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"/>
  <sheetViews>
    <sheetView workbookViewId="0"/>
  </sheetViews>
  <sheetFormatPr defaultRowHeight="14.25"/>
  <cols>
    <col min="1" max="7" width="18" customWidth="1"/>
    <col min="8" max="8" width="34" customWidth="1"/>
  </cols>
  <sheetData>
    <row r="1" spans="1:8" ht="30">
      <c r="A1" s="2" t="s">
        <v>710</v>
      </c>
      <c r="B1" s="2" t="s">
        <v>600</v>
      </c>
      <c r="C1" s="2" t="s">
        <v>138</v>
      </c>
      <c r="D1" s="2" t="s">
        <v>711</v>
      </c>
      <c r="E1" s="2" t="s">
        <v>713</v>
      </c>
      <c r="F1" s="2" t="s">
        <v>147</v>
      </c>
      <c r="G1" s="2" t="s">
        <v>714</v>
      </c>
      <c r="H1" s="2" t="s">
        <v>36</v>
      </c>
    </row>
    <row r="2" spans="1:8" ht="28.5">
      <c r="A2" s="3" t="s">
        <v>818</v>
      </c>
      <c r="B2" s="3" t="s">
        <v>576</v>
      </c>
      <c r="C2" s="3" t="s">
        <v>191</v>
      </c>
      <c r="D2" s="3" t="s">
        <v>819</v>
      </c>
      <c r="E2" s="3" t="s">
        <v>283</v>
      </c>
      <c r="F2" s="3" t="s">
        <v>126</v>
      </c>
      <c r="G2" s="3" t="s">
        <v>796</v>
      </c>
      <c r="H2" s="3"/>
    </row>
    <row r="3" spans="1:8" ht="28.5">
      <c r="A3" s="3" t="s">
        <v>820</v>
      </c>
      <c r="B3" s="3" t="s">
        <v>576</v>
      </c>
      <c r="C3" s="3" t="s">
        <v>191</v>
      </c>
      <c r="D3" s="3" t="s">
        <v>821</v>
      </c>
      <c r="E3" s="3" t="s">
        <v>283</v>
      </c>
      <c r="F3" s="3" t="s">
        <v>126</v>
      </c>
      <c r="G3" s="3" t="s">
        <v>822</v>
      </c>
      <c r="H3" s="3" t="s">
        <v>823</v>
      </c>
    </row>
    <row r="4" spans="1:8" ht="42.75">
      <c r="A4" s="3" t="s">
        <v>824</v>
      </c>
      <c r="B4" s="3" t="s">
        <v>576</v>
      </c>
      <c r="C4" s="3" t="s">
        <v>191</v>
      </c>
      <c r="D4" s="3" t="s">
        <v>825</v>
      </c>
      <c r="E4" s="3" t="s">
        <v>283</v>
      </c>
      <c r="F4" s="3" t="s">
        <v>126</v>
      </c>
      <c r="G4" s="3" t="s">
        <v>822</v>
      </c>
      <c r="H4" s="3" t="s">
        <v>826</v>
      </c>
    </row>
    <row r="5" spans="1:8" ht="28.5">
      <c r="A5" s="3" t="s">
        <v>827</v>
      </c>
      <c r="B5" s="3" t="s">
        <v>576</v>
      </c>
      <c r="C5" s="3" t="s">
        <v>191</v>
      </c>
      <c r="D5" s="3" t="s">
        <v>828</v>
      </c>
      <c r="E5" s="3" t="s">
        <v>829</v>
      </c>
      <c r="F5" s="3" t="s">
        <v>126</v>
      </c>
      <c r="G5" s="3" t="s">
        <v>830</v>
      </c>
      <c r="H5" s="3"/>
    </row>
    <row r="6" spans="1:8" ht="42.75">
      <c r="A6" s="3" t="s">
        <v>831</v>
      </c>
      <c r="B6" s="3" t="s">
        <v>576</v>
      </c>
      <c r="C6" s="3" t="s">
        <v>191</v>
      </c>
      <c r="D6" s="3" t="s">
        <v>832</v>
      </c>
      <c r="E6" s="3" t="s">
        <v>833</v>
      </c>
      <c r="F6" s="3" t="s">
        <v>126</v>
      </c>
      <c r="G6" s="3" t="s">
        <v>726</v>
      </c>
      <c r="H6" s="3" t="s">
        <v>381</v>
      </c>
    </row>
    <row r="7" spans="1:8" ht="28.5">
      <c r="A7" s="3" t="s">
        <v>834</v>
      </c>
      <c r="B7" s="3" t="s">
        <v>576</v>
      </c>
      <c r="C7" s="3" t="s">
        <v>191</v>
      </c>
      <c r="D7" s="3" t="s">
        <v>835</v>
      </c>
      <c r="E7" s="3" t="s">
        <v>605</v>
      </c>
      <c r="F7" s="3" t="s">
        <v>126</v>
      </c>
      <c r="G7" s="3" t="s">
        <v>836</v>
      </c>
      <c r="H7" s="3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"/>
  <sheetViews>
    <sheetView workbookViewId="0"/>
  </sheetViews>
  <sheetFormatPr defaultRowHeight="14.25"/>
  <cols>
    <col min="1" max="7" width="18" customWidth="1"/>
    <col min="8" max="8" width="34" customWidth="1"/>
  </cols>
  <sheetData>
    <row r="1" spans="1:8" ht="30">
      <c r="A1" s="2" t="s">
        <v>710</v>
      </c>
      <c r="B1" s="2" t="s">
        <v>600</v>
      </c>
      <c r="C1" s="2" t="s">
        <v>138</v>
      </c>
      <c r="D1" s="2" t="s">
        <v>711</v>
      </c>
      <c r="E1" s="2" t="s">
        <v>713</v>
      </c>
      <c r="F1" s="2" t="s">
        <v>147</v>
      </c>
      <c r="G1" s="2" t="s">
        <v>714</v>
      </c>
      <c r="H1" s="2" t="s">
        <v>36</v>
      </c>
    </row>
    <row r="2" spans="1:8" ht="28.5">
      <c r="A2" s="3" t="s">
        <v>837</v>
      </c>
      <c r="B2" s="3" t="s">
        <v>574</v>
      </c>
      <c r="C2" s="3" t="s">
        <v>180</v>
      </c>
      <c r="D2" s="3" t="s">
        <v>838</v>
      </c>
      <c r="E2" s="3" t="s">
        <v>283</v>
      </c>
      <c r="F2" s="3" t="s">
        <v>718</v>
      </c>
      <c r="G2" s="3" t="s">
        <v>839</v>
      </c>
      <c r="H2" s="3"/>
    </row>
    <row r="3" spans="1:8" ht="42.75">
      <c r="A3" s="3" t="s">
        <v>840</v>
      </c>
      <c r="B3" s="3" t="s">
        <v>574</v>
      </c>
      <c r="C3" s="3" t="s">
        <v>180</v>
      </c>
      <c r="D3" s="3" t="s">
        <v>841</v>
      </c>
      <c r="E3" s="3" t="s">
        <v>842</v>
      </c>
      <c r="F3" s="3" t="s">
        <v>718</v>
      </c>
      <c r="G3" s="3" t="s">
        <v>843</v>
      </c>
      <c r="H3" s="3"/>
    </row>
    <row r="4" spans="1:8">
      <c r="A4" s="3" t="s">
        <v>844</v>
      </c>
      <c r="B4" s="3" t="s">
        <v>574</v>
      </c>
      <c r="C4" s="3" t="s">
        <v>180</v>
      </c>
      <c r="D4" s="3" t="s">
        <v>845</v>
      </c>
      <c r="E4" s="3" t="s">
        <v>603</v>
      </c>
      <c r="F4" s="3" t="s">
        <v>126</v>
      </c>
      <c r="G4" s="3" t="s">
        <v>726</v>
      </c>
      <c r="H4" s="3"/>
    </row>
    <row r="5" spans="1:8" ht="28.5">
      <c r="A5" s="3" t="s">
        <v>846</v>
      </c>
      <c r="B5" s="3" t="s">
        <v>574</v>
      </c>
      <c r="C5" s="3" t="s">
        <v>180</v>
      </c>
      <c r="D5" s="3" t="s">
        <v>847</v>
      </c>
      <c r="E5" s="3" t="s">
        <v>833</v>
      </c>
      <c r="F5" s="3" t="s">
        <v>126</v>
      </c>
      <c r="G5" s="3" t="s">
        <v>848</v>
      </c>
      <c r="H5" s="3"/>
    </row>
    <row r="6" spans="1:8">
      <c r="A6" s="3" t="s">
        <v>849</v>
      </c>
      <c r="B6" s="3" t="s">
        <v>574</v>
      </c>
      <c r="C6" s="3" t="s">
        <v>180</v>
      </c>
      <c r="D6" s="3" t="s">
        <v>850</v>
      </c>
      <c r="E6" s="3" t="s">
        <v>605</v>
      </c>
      <c r="F6" s="3" t="s">
        <v>126</v>
      </c>
      <c r="G6" s="3" t="s">
        <v>726</v>
      </c>
      <c r="H6" s="3"/>
    </row>
    <row r="7" spans="1:8" ht="28.5">
      <c r="A7" s="3" t="s">
        <v>851</v>
      </c>
      <c r="B7" s="3" t="s">
        <v>574</v>
      </c>
      <c r="C7" s="3" t="s">
        <v>180</v>
      </c>
      <c r="D7" s="3" t="s">
        <v>852</v>
      </c>
      <c r="E7" s="3" t="s">
        <v>283</v>
      </c>
      <c r="F7" s="3" t="s">
        <v>126</v>
      </c>
      <c r="G7" s="3" t="s">
        <v>853</v>
      </c>
      <c r="H7" s="3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6"/>
  <sheetViews>
    <sheetView workbookViewId="0"/>
  </sheetViews>
  <sheetFormatPr defaultRowHeight="14.25"/>
  <cols>
    <col min="1" max="4" width="18" customWidth="1"/>
    <col min="5" max="5" width="34" customWidth="1"/>
    <col min="6" max="9" width="18" customWidth="1"/>
    <col min="10" max="10" width="34" customWidth="1"/>
  </cols>
  <sheetData>
    <row r="1" spans="1:10" ht="45">
      <c r="A1" s="2" t="s">
        <v>854</v>
      </c>
      <c r="B1" s="2" t="s">
        <v>136</v>
      </c>
      <c r="C1" s="2" t="s">
        <v>138</v>
      </c>
      <c r="D1" s="2" t="s">
        <v>855</v>
      </c>
      <c r="E1" s="2" t="s">
        <v>856</v>
      </c>
      <c r="F1" s="2" t="s">
        <v>857</v>
      </c>
      <c r="G1" s="2" t="s">
        <v>858</v>
      </c>
      <c r="H1" s="2" t="s">
        <v>859</v>
      </c>
      <c r="I1" s="2" t="s">
        <v>147</v>
      </c>
      <c r="J1" s="2" t="s">
        <v>36</v>
      </c>
    </row>
    <row r="2" spans="1:10" ht="28.5">
      <c r="A2" s="3" t="s">
        <v>860</v>
      </c>
      <c r="B2" s="3" t="s">
        <v>190</v>
      </c>
      <c r="C2" s="3" t="s">
        <v>191</v>
      </c>
      <c r="D2" s="3" t="s">
        <v>861</v>
      </c>
      <c r="E2" s="3" t="s">
        <v>862</v>
      </c>
      <c r="F2" s="3" t="s">
        <v>863</v>
      </c>
      <c r="G2" s="3" t="s">
        <v>864</v>
      </c>
      <c r="H2" s="3" t="s">
        <v>823</v>
      </c>
      <c r="I2" s="3" t="s">
        <v>126</v>
      </c>
      <c r="J2" s="3" t="s">
        <v>865</v>
      </c>
    </row>
    <row r="3" spans="1:10">
      <c r="A3" s="3" t="s">
        <v>866</v>
      </c>
      <c r="B3" s="3" t="s">
        <v>190</v>
      </c>
      <c r="C3" s="3" t="s">
        <v>191</v>
      </c>
      <c r="D3" s="3" t="s">
        <v>867</v>
      </c>
      <c r="E3" s="3" t="s">
        <v>868</v>
      </c>
      <c r="F3" s="3" t="s">
        <v>869</v>
      </c>
      <c r="G3" s="3" t="s">
        <v>870</v>
      </c>
      <c r="H3" s="3" t="s">
        <v>823</v>
      </c>
      <c r="I3" s="3" t="s">
        <v>126</v>
      </c>
      <c r="J3" s="3" t="s">
        <v>871</v>
      </c>
    </row>
    <row r="4" spans="1:10" ht="28.5">
      <c r="A4" s="3" t="s">
        <v>872</v>
      </c>
      <c r="B4" s="3" t="s">
        <v>164</v>
      </c>
      <c r="C4" s="3" t="s">
        <v>166</v>
      </c>
      <c r="D4" s="3" t="s">
        <v>867</v>
      </c>
      <c r="E4" s="3" t="s">
        <v>873</v>
      </c>
      <c r="F4" s="3" t="s">
        <v>869</v>
      </c>
      <c r="G4" s="3" t="s">
        <v>874</v>
      </c>
      <c r="H4" s="3" t="s">
        <v>823</v>
      </c>
      <c r="I4" s="3" t="s">
        <v>126</v>
      </c>
      <c r="J4" s="3" t="s">
        <v>692</v>
      </c>
    </row>
    <row r="5" spans="1:10" ht="28.5">
      <c r="A5" s="3" t="s">
        <v>875</v>
      </c>
      <c r="B5" s="3" t="s">
        <v>164</v>
      </c>
      <c r="C5" s="3" t="s">
        <v>166</v>
      </c>
      <c r="D5" s="3" t="s">
        <v>876</v>
      </c>
      <c r="E5" s="3" t="s">
        <v>877</v>
      </c>
      <c r="F5" s="3" t="s">
        <v>878</v>
      </c>
      <c r="G5" s="3" t="s">
        <v>879</v>
      </c>
      <c r="H5" s="3" t="s">
        <v>877</v>
      </c>
      <c r="I5" s="3" t="s">
        <v>126</v>
      </c>
      <c r="J5" s="3" t="s">
        <v>880</v>
      </c>
    </row>
    <row r="6" spans="1:10" ht="28.5">
      <c r="A6" s="3" t="s">
        <v>881</v>
      </c>
      <c r="B6" s="3" t="s">
        <v>201</v>
      </c>
      <c r="C6" s="3" t="s">
        <v>202</v>
      </c>
      <c r="D6" s="3" t="s">
        <v>882</v>
      </c>
      <c r="E6" s="3" t="s">
        <v>877</v>
      </c>
      <c r="F6" s="3" t="s">
        <v>883</v>
      </c>
      <c r="G6" s="3" t="s">
        <v>884</v>
      </c>
      <c r="H6" s="3" t="s">
        <v>877</v>
      </c>
      <c r="I6" s="3" t="s">
        <v>126</v>
      </c>
      <c r="J6" s="3" t="s">
        <v>885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00"/>
  <sheetViews>
    <sheetView workbookViewId="0"/>
  </sheetViews>
  <sheetFormatPr defaultRowHeight="14.25"/>
  <cols>
    <col min="1" max="12" width="18" customWidth="1"/>
    <col min="13" max="13" width="34" customWidth="1"/>
  </cols>
  <sheetData>
    <row r="1" spans="1:13" ht="30">
      <c r="A1" s="2" t="s">
        <v>886</v>
      </c>
      <c r="B1" s="2" t="s">
        <v>600</v>
      </c>
      <c r="C1" s="2" t="s">
        <v>138</v>
      </c>
      <c r="D1" s="2" t="s">
        <v>887</v>
      </c>
      <c r="E1" s="2" t="s">
        <v>888</v>
      </c>
      <c r="F1" s="2" t="s">
        <v>765</v>
      </c>
      <c r="G1" s="2" t="s">
        <v>889</v>
      </c>
      <c r="H1" s="2" t="s">
        <v>890</v>
      </c>
      <c r="I1" s="2" t="s">
        <v>891</v>
      </c>
      <c r="J1" s="2" t="s">
        <v>892</v>
      </c>
      <c r="K1" s="2" t="s">
        <v>893</v>
      </c>
      <c r="L1" s="2" t="s">
        <v>110</v>
      </c>
      <c r="M1" s="2" t="s">
        <v>36</v>
      </c>
    </row>
    <row r="2" spans="1:13" ht="28.5">
      <c r="A2" s="3" t="s">
        <v>894</v>
      </c>
      <c r="B2" s="3" t="s">
        <v>568</v>
      </c>
      <c r="C2" s="3" t="s">
        <v>152</v>
      </c>
      <c r="D2" s="3" t="s">
        <v>895</v>
      </c>
      <c r="E2" s="3" t="s">
        <v>896</v>
      </c>
      <c r="F2" s="3" t="s">
        <v>786</v>
      </c>
      <c r="G2" s="3" t="s">
        <v>897</v>
      </c>
      <c r="H2" s="3">
        <v>2.25</v>
      </c>
      <c r="I2" s="4">
        <v>1000</v>
      </c>
      <c r="J2" s="4">
        <f t="shared" ref="J2:J33" si="0">H2*I2</f>
        <v>2250</v>
      </c>
      <c r="K2" s="3" t="s">
        <v>126</v>
      </c>
      <c r="L2" s="3" t="s">
        <v>111</v>
      </c>
      <c r="M2" s="3" t="s">
        <v>898</v>
      </c>
    </row>
    <row r="3" spans="1:13">
      <c r="A3" s="3" t="s">
        <v>899</v>
      </c>
      <c r="B3" s="3" t="s">
        <v>571</v>
      </c>
      <c r="C3" s="3" t="s">
        <v>166</v>
      </c>
      <c r="D3" s="3" t="s">
        <v>700</v>
      </c>
      <c r="E3" s="3" t="s">
        <v>900</v>
      </c>
      <c r="F3" s="3" t="s">
        <v>615</v>
      </c>
      <c r="G3" s="3" t="s">
        <v>608</v>
      </c>
      <c r="H3" s="3">
        <v>1</v>
      </c>
      <c r="I3" s="4">
        <v>1000</v>
      </c>
      <c r="J3" s="4">
        <f t="shared" si="0"/>
        <v>1000</v>
      </c>
      <c r="K3" s="3" t="s">
        <v>126</v>
      </c>
      <c r="L3" s="3" t="s">
        <v>111</v>
      </c>
      <c r="M3" s="3"/>
    </row>
    <row r="4" spans="1:13">
      <c r="A4" s="3" t="s">
        <v>901</v>
      </c>
      <c r="B4" s="3" t="s">
        <v>574</v>
      </c>
      <c r="C4" s="3" t="s">
        <v>180</v>
      </c>
      <c r="D4" s="3" t="s">
        <v>700</v>
      </c>
      <c r="E4" s="3" t="s">
        <v>902</v>
      </c>
      <c r="F4" s="3" t="s">
        <v>621</v>
      </c>
      <c r="G4" s="3" t="s">
        <v>903</v>
      </c>
      <c r="H4" s="3">
        <v>0.5</v>
      </c>
      <c r="I4" s="4">
        <v>1000</v>
      </c>
      <c r="J4" s="4">
        <f t="shared" si="0"/>
        <v>500</v>
      </c>
      <c r="K4" s="3" t="s">
        <v>904</v>
      </c>
      <c r="L4" s="3" t="s">
        <v>115</v>
      </c>
      <c r="M4" s="3"/>
    </row>
    <row r="5" spans="1:13">
      <c r="I5" s="5"/>
      <c r="J5" s="5">
        <f t="shared" si="0"/>
        <v>0</v>
      </c>
    </row>
    <row r="6" spans="1:13">
      <c r="I6" s="5"/>
      <c r="J6" s="5">
        <f t="shared" si="0"/>
        <v>0</v>
      </c>
    </row>
    <row r="7" spans="1:13">
      <c r="I7" s="5"/>
      <c r="J7" s="5">
        <f t="shared" si="0"/>
        <v>0</v>
      </c>
    </row>
    <row r="8" spans="1:13">
      <c r="I8" s="5"/>
      <c r="J8" s="5">
        <f t="shared" si="0"/>
        <v>0</v>
      </c>
    </row>
    <row r="9" spans="1:13">
      <c r="I9" s="5"/>
      <c r="J9" s="5">
        <f t="shared" si="0"/>
        <v>0</v>
      </c>
    </row>
    <row r="10" spans="1:13">
      <c r="I10" s="5"/>
      <c r="J10" s="5">
        <f t="shared" si="0"/>
        <v>0</v>
      </c>
    </row>
    <row r="11" spans="1:13">
      <c r="I11" s="5"/>
      <c r="J11" s="5">
        <f t="shared" si="0"/>
        <v>0</v>
      </c>
    </row>
    <row r="12" spans="1:13">
      <c r="I12" s="5"/>
      <c r="J12" s="5">
        <f t="shared" si="0"/>
        <v>0</v>
      </c>
    </row>
    <row r="13" spans="1:13">
      <c r="I13" s="5"/>
      <c r="J13" s="5">
        <f t="shared" si="0"/>
        <v>0</v>
      </c>
    </row>
    <row r="14" spans="1:13">
      <c r="I14" s="5"/>
      <c r="J14" s="5">
        <f t="shared" si="0"/>
        <v>0</v>
      </c>
    </row>
    <row r="15" spans="1:13">
      <c r="I15" s="5"/>
      <c r="J15" s="5">
        <f t="shared" si="0"/>
        <v>0</v>
      </c>
    </row>
    <row r="16" spans="1:13">
      <c r="I16" s="5"/>
      <c r="J16" s="5">
        <f t="shared" si="0"/>
        <v>0</v>
      </c>
    </row>
    <row r="17" spans="9:10">
      <c r="I17" s="5"/>
      <c r="J17" s="5">
        <f t="shared" si="0"/>
        <v>0</v>
      </c>
    </row>
    <row r="18" spans="9:10">
      <c r="I18" s="5"/>
      <c r="J18" s="5">
        <f t="shared" si="0"/>
        <v>0</v>
      </c>
    </row>
    <row r="19" spans="9:10">
      <c r="I19" s="5"/>
      <c r="J19" s="5">
        <f t="shared" si="0"/>
        <v>0</v>
      </c>
    </row>
    <row r="20" spans="9:10">
      <c r="I20" s="5"/>
      <c r="J20" s="5">
        <f t="shared" si="0"/>
        <v>0</v>
      </c>
    </row>
    <row r="21" spans="9:10">
      <c r="I21" s="5"/>
      <c r="J21" s="5">
        <f t="shared" si="0"/>
        <v>0</v>
      </c>
    </row>
    <row r="22" spans="9:10">
      <c r="I22" s="5"/>
      <c r="J22" s="5">
        <f t="shared" si="0"/>
        <v>0</v>
      </c>
    </row>
    <row r="23" spans="9:10">
      <c r="I23" s="5"/>
      <c r="J23" s="5">
        <f t="shared" si="0"/>
        <v>0</v>
      </c>
    </row>
    <row r="24" spans="9:10">
      <c r="I24" s="5"/>
      <c r="J24" s="5">
        <f t="shared" si="0"/>
        <v>0</v>
      </c>
    </row>
    <row r="25" spans="9:10">
      <c r="I25" s="5"/>
      <c r="J25" s="5">
        <f t="shared" si="0"/>
        <v>0</v>
      </c>
    </row>
    <row r="26" spans="9:10">
      <c r="I26" s="5"/>
      <c r="J26" s="5">
        <f t="shared" si="0"/>
        <v>0</v>
      </c>
    </row>
    <row r="27" spans="9:10">
      <c r="I27" s="5"/>
      <c r="J27" s="5">
        <f t="shared" si="0"/>
        <v>0</v>
      </c>
    </row>
    <row r="28" spans="9:10">
      <c r="I28" s="5"/>
      <c r="J28" s="5">
        <f t="shared" si="0"/>
        <v>0</v>
      </c>
    </row>
    <row r="29" spans="9:10">
      <c r="I29" s="5"/>
      <c r="J29" s="5">
        <f t="shared" si="0"/>
        <v>0</v>
      </c>
    </row>
    <row r="30" spans="9:10">
      <c r="I30" s="5"/>
      <c r="J30" s="5">
        <f t="shared" si="0"/>
        <v>0</v>
      </c>
    </row>
    <row r="31" spans="9:10">
      <c r="I31" s="5"/>
      <c r="J31" s="5">
        <f t="shared" si="0"/>
        <v>0</v>
      </c>
    </row>
    <row r="32" spans="9:10">
      <c r="I32" s="5"/>
      <c r="J32" s="5">
        <f t="shared" si="0"/>
        <v>0</v>
      </c>
    </row>
    <row r="33" spans="9:10">
      <c r="I33" s="5"/>
      <c r="J33" s="5">
        <f t="shared" si="0"/>
        <v>0</v>
      </c>
    </row>
    <row r="34" spans="9:10">
      <c r="I34" s="5"/>
      <c r="J34" s="5">
        <f t="shared" ref="J34:J65" si="1">H34*I34</f>
        <v>0</v>
      </c>
    </row>
    <row r="35" spans="9:10">
      <c r="I35" s="5"/>
      <c r="J35" s="5">
        <f t="shared" si="1"/>
        <v>0</v>
      </c>
    </row>
    <row r="36" spans="9:10">
      <c r="I36" s="5"/>
      <c r="J36" s="5">
        <f t="shared" si="1"/>
        <v>0</v>
      </c>
    </row>
    <row r="37" spans="9:10">
      <c r="I37" s="5"/>
      <c r="J37" s="5">
        <f t="shared" si="1"/>
        <v>0</v>
      </c>
    </row>
    <row r="38" spans="9:10">
      <c r="I38" s="5"/>
      <c r="J38" s="5">
        <f t="shared" si="1"/>
        <v>0</v>
      </c>
    </row>
    <row r="39" spans="9:10">
      <c r="I39" s="5"/>
      <c r="J39" s="5">
        <f t="shared" si="1"/>
        <v>0</v>
      </c>
    </row>
    <row r="40" spans="9:10">
      <c r="I40" s="5"/>
      <c r="J40" s="5">
        <f t="shared" si="1"/>
        <v>0</v>
      </c>
    </row>
    <row r="41" spans="9:10">
      <c r="I41" s="5"/>
      <c r="J41" s="5">
        <f t="shared" si="1"/>
        <v>0</v>
      </c>
    </row>
    <row r="42" spans="9:10">
      <c r="I42" s="5"/>
      <c r="J42" s="5">
        <f t="shared" si="1"/>
        <v>0</v>
      </c>
    </row>
    <row r="43" spans="9:10">
      <c r="I43" s="5"/>
      <c r="J43" s="5">
        <f t="shared" si="1"/>
        <v>0</v>
      </c>
    </row>
    <row r="44" spans="9:10">
      <c r="I44" s="5"/>
      <c r="J44" s="5">
        <f t="shared" si="1"/>
        <v>0</v>
      </c>
    </row>
    <row r="45" spans="9:10">
      <c r="I45" s="5"/>
      <c r="J45" s="5">
        <f t="shared" si="1"/>
        <v>0</v>
      </c>
    </row>
    <row r="46" spans="9:10">
      <c r="I46" s="5"/>
      <c r="J46" s="5">
        <f t="shared" si="1"/>
        <v>0</v>
      </c>
    </row>
    <row r="47" spans="9:10">
      <c r="I47" s="5"/>
      <c r="J47" s="5">
        <f t="shared" si="1"/>
        <v>0</v>
      </c>
    </row>
    <row r="48" spans="9:10">
      <c r="I48" s="5"/>
      <c r="J48" s="5">
        <f t="shared" si="1"/>
        <v>0</v>
      </c>
    </row>
    <row r="49" spans="9:10">
      <c r="I49" s="5"/>
      <c r="J49" s="5">
        <f t="shared" si="1"/>
        <v>0</v>
      </c>
    </row>
    <row r="50" spans="9:10">
      <c r="I50" s="5"/>
      <c r="J50" s="5">
        <f t="shared" si="1"/>
        <v>0</v>
      </c>
    </row>
    <row r="51" spans="9:10">
      <c r="I51" s="5"/>
      <c r="J51" s="5">
        <f t="shared" si="1"/>
        <v>0</v>
      </c>
    </row>
    <row r="52" spans="9:10">
      <c r="I52" s="5"/>
      <c r="J52" s="5">
        <f t="shared" si="1"/>
        <v>0</v>
      </c>
    </row>
    <row r="53" spans="9:10">
      <c r="I53" s="5"/>
      <c r="J53" s="5">
        <f t="shared" si="1"/>
        <v>0</v>
      </c>
    </row>
    <row r="54" spans="9:10">
      <c r="I54" s="5"/>
      <c r="J54" s="5">
        <f t="shared" si="1"/>
        <v>0</v>
      </c>
    </row>
    <row r="55" spans="9:10">
      <c r="I55" s="5"/>
      <c r="J55" s="5">
        <f t="shared" si="1"/>
        <v>0</v>
      </c>
    </row>
    <row r="56" spans="9:10">
      <c r="I56" s="5"/>
      <c r="J56" s="5">
        <f t="shared" si="1"/>
        <v>0</v>
      </c>
    </row>
    <row r="57" spans="9:10">
      <c r="I57" s="5"/>
      <c r="J57" s="5">
        <f t="shared" si="1"/>
        <v>0</v>
      </c>
    </row>
    <row r="58" spans="9:10">
      <c r="I58" s="5"/>
      <c r="J58" s="5">
        <f t="shared" si="1"/>
        <v>0</v>
      </c>
    </row>
    <row r="59" spans="9:10">
      <c r="I59" s="5"/>
      <c r="J59" s="5">
        <f t="shared" si="1"/>
        <v>0</v>
      </c>
    </row>
    <row r="60" spans="9:10">
      <c r="I60" s="5"/>
      <c r="J60" s="5">
        <f t="shared" si="1"/>
        <v>0</v>
      </c>
    </row>
    <row r="61" spans="9:10">
      <c r="I61" s="5"/>
      <c r="J61" s="5">
        <f t="shared" si="1"/>
        <v>0</v>
      </c>
    </row>
    <row r="62" spans="9:10">
      <c r="I62" s="5"/>
      <c r="J62" s="5">
        <f t="shared" si="1"/>
        <v>0</v>
      </c>
    </row>
    <row r="63" spans="9:10">
      <c r="I63" s="5"/>
      <c r="J63" s="5">
        <f t="shared" si="1"/>
        <v>0</v>
      </c>
    </row>
    <row r="64" spans="9:10">
      <c r="I64" s="5"/>
      <c r="J64" s="5">
        <f t="shared" si="1"/>
        <v>0</v>
      </c>
    </row>
    <row r="65" spans="9:10">
      <c r="I65" s="5"/>
      <c r="J65" s="5">
        <f t="shared" si="1"/>
        <v>0</v>
      </c>
    </row>
    <row r="66" spans="9:10">
      <c r="I66" s="5"/>
      <c r="J66" s="5">
        <f t="shared" ref="J66:J97" si="2">H66*I66</f>
        <v>0</v>
      </c>
    </row>
    <row r="67" spans="9:10">
      <c r="I67" s="5"/>
      <c r="J67" s="5">
        <f t="shared" si="2"/>
        <v>0</v>
      </c>
    </row>
    <row r="68" spans="9:10">
      <c r="I68" s="5"/>
      <c r="J68" s="5">
        <f t="shared" si="2"/>
        <v>0</v>
      </c>
    </row>
    <row r="69" spans="9:10">
      <c r="I69" s="5"/>
      <c r="J69" s="5">
        <f t="shared" si="2"/>
        <v>0</v>
      </c>
    </row>
    <row r="70" spans="9:10">
      <c r="I70" s="5"/>
      <c r="J70" s="5">
        <f t="shared" si="2"/>
        <v>0</v>
      </c>
    </row>
    <row r="71" spans="9:10">
      <c r="I71" s="5"/>
      <c r="J71" s="5">
        <f t="shared" si="2"/>
        <v>0</v>
      </c>
    </row>
    <row r="72" spans="9:10">
      <c r="I72" s="5"/>
      <c r="J72" s="5">
        <f t="shared" si="2"/>
        <v>0</v>
      </c>
    </row>
    <row r="73" spans="9:10">
      <c r="I73" s="5"/>
      <c r="J73" s="5">
        <f t="shared" si="2"/>
        <v>0</v>
      </c>
    </row>
    <row r="74" spans="9:10">
      <c r="I74" s="5"/>
      <c r="J74" s="5">
        <f t="shared" si="2"/>
        <v>0</v>
      </c>
    </row>
    <row r="75" spans="9:10">
      <c r="I75" s="5"/>
      <c r="J75" s="5">
        <f t="shared" si="2"/>
        <v>0</v>
      </c>
    </row>
    <row r="76" spans="9:10">
      <c r="I76" s="5"/>
      <c r="J76" s="5">
        <f t="shared" si="2"/>
        <v>0</v>
      </c>
    </row>
    <row r="77" spans="9:10">
      <c r="I77" s="5"/>
      <c r="J77" s="5">
        <f t="shared" si="2"/>
        <v>0</v>
      </c>
    </row>
    <row r="78" spans="9:10">
      <c r="I78" s="5"/>
      <c r="J78" s="5">
        <f t="shared" si="2"/>
        <v>0</v>
      </c>
    </row>
    <row r="79" spans="9:10">
      <c r="I79" s="5"/>
      <c r="J79" s="5">
        <f t="shared" si="2"/>
        <v>0</v>
      </c>
    </row>
    <row r="80" spans="9:10">
      <c r="I80" s="5"/>
      <c r="J80" s="5">
        <f t="shared" si="2"/>
        <v>0</v>
      </c>
    </row>
    <row r="81" spans="9:10">
      <c r="I81" s="5"/>
      <c r="J81" s="5">
        <f t="shared" si="2"/>
        <v>0</v>
      </c>
    </row>
    <row r="82" spans="9:10">
      <c r="I82" s="5"/>
      <c r="J82" s="5">
        <f t="shared" si="2"/>
        <v>0</v>
      </c>
    </row>
    <row r="83" spans="9:10">
      <c r="I83" s="5"/>
      <c r="J83" s="5">
        <f t="shared" si="2"/>
        <v>0</v>
      </c>
    </row>
    <row r="84" spans="9:10">
      <c r="I84" s="5"/>
      <c r="J84" s="5">
        <f t="shared" si="2"/>
        <v>0</v>
      </c>
    </row>
    <row r="85" spans="9:10">
      <c r="I85" s="5"/>
      <c r="J85" s="5">
        <f t="shared" si="2"/>
        <v>0</v>
      </c>
    </row>
    <row r="86" spans="9:10">
      <c r="I86" s="5"/>
      <c r="J86" s="5">
        <f t="shared" si="2"/>
        <v>0</v>
      </c>
    </row>
    <row r="87" spans="9:10">
      <c r="I87" s="5"/>
      <c r="J87" s="5">
        <f t="shared" si="2"/>
        <v>0</v>
      </c>
    </row>
    <row r="88" spans="9:10">
      <c r="I88" s="5"/>
      <c r="J88" s="5">
        <f t="shared" si="2"/>
        <v>0</v>
      </c>
    </row>
    <row r="89" spans="9:10">
      <c r="I89" s="5"/>
      <c r="J89" s="5">
        <f t="shared" si="2"/>
        <v>0</v>
      </c>
    </row>
    <row r="90" spans="9:10">
      <c r="I90" s="5"/>
      <c r="J90" s="5">
        <f t="shared" si="2"/>
        <v>0</v>
      </c>
    </row>
    <row r="91" spans="9:10">
      <c r="I91" s="5"/>
      <c r="J91" s="5">
        <f t="shared" si="2"/>
        <v>0</v>
      </c>
    </row>
    <row r="92" spans="9:10">
      <c r="I92" s="5"/>
      <c r="J92" s="5">
        <f t="shared" si="2"/>
        <v>0</v>
      </c>
    </row>
    <row r="93" spans="9:10">
      <c r="I93" s="5"/>
      <c r="J93" s="5">
        <f t="shared" si="2"/>
        <v>0</v>
      </c>
    </row>
    <row r="94" spans="9:10">
      <c r="I94" s="5"/>
      <c r="J94" s="5">
        <f t="shared" si="2"/>
        <v>0</v>
      </c>
    </row>
    <row r="95" spans="9:10">
      <c r="I95" s="5"/>
      <c r="J95" s="5">
        <f t="shared" si="2"/>
        <v>0</v>
      </c>
    </row>
    <row r="96" spans="9:10">
      <c r="I96" s="5"/>
      <c r="J96" s="5">
        <f t="shared" si="2"/>
        <v>0</v>
      </c>
    </row>
    <row r="97" spans="9:10">
      <c r="I97" s="5"/>
      <c r="J97" s="5">
        <f t="shared" si="2"/>
        <v>0</v>
      </c>
    </row>
    <row r="98" spans="9:10">
      <c r="I98" s="5"/>
      <c r="J98" s="5">
        <f t="shared" ref="J98:J129" si="3">H98*I98</f>
        <v>0</v>
      </c>
    </row>
    <row r="99" spans="9:10">
      <c r="I99" s="5"/>
      <c r="J99" s="5">
        <f t="shared" si="3"/>
        <v>0</v>
      </c>
    </row>
    <row r="100" spans="9:10">
      <c r="I100" s="5"/>
      <c r="J100" s="5">
        <f t="shared" si="3"/>
        <v>0</v>
      </c>
    </row>
    <row r="101" spans="9:10">
      <c r="I101" s="5"/>
      <c r="J101" s="5">
        <f t="shared" si="3"/>
        <v>0</v>
      </c>
    </row>
    <row r="102" spans="9:10">
      <c r="I102" s="5"/>
      <c r="J102" s="5">
        <f t="shared" si="3"/>
        <v>0</v>
      </c>
    </row>
    <row r="103" spans="9:10">
      <c r="I103" s="5"/>
      <c r="J103" s="5">
        <f t="shared" si="3"/>
        <v>0</v>
      </c>
    </row>
    <row r="104" spans="9:10">
      <c r="I104" s="5"/>
      <c r="J104" s="5">
        <f t="shared" si="3"/>
        <v>0</v>
      </c>
    </row>
    <row r="105" spans="9:10">
      <c r="I105" s="5"/>
      <c r="J105" s="5">
        <f t="shared" si="3"/>
        <v>0</v>
      </c>
    </row>
    <row r="106" spans="9:10">
      <c r="I106" s="5"/>
      <c r="J106" s="5">
        <f t="shared" si="3"/>
        <v>0</v>
      </c>
    </row>
    <row r="107" spans="9:10">
      <c r="I107" s="5"/>
      <c r="J107" s="5">
        <f t="shared" si="3"/>
        <v>0</v>
      </c>
    </row>
    <row r="108" spans="9:10">
      <c r="I108" s="5"/>
      <c r="J108" s="5">
        <f t="shared" si="3"/>
        <v>0</v>
      </c>
    </row>
    <row r="109" spans="9:10">
      <c r="I109" s="5"/>
      <c r="J109" s="5">
        <f t="shared" si="3"/>
        <v>0</v>
      </c>
    </row>
    <row r="110" spans="9:10">
      <c r="I110" s="5"/>
      <c r="J110" s="5">
        <f t="shared" si="3"/>
        <v>0</v>
      </c>
    </row>
    <row r="111" spans="9:10">
      <c r="I111" s="5"/>
      <c r="J111" s="5">
        <f t="shared" si="3"/>
        <v>0</v>
      </c>
    </row>
    <row r="112" spans="9:10">
      <c r="I112" s="5"/>
      <c r="J112" s="5">
        <f t="shared" si="3"/>
        <v>0</v>
      </c>
    </row>
    <row r="113" spans="9:10">
      <c r="I113" s="5"/>
      <c r="J113" s="5">
        <f t="shared" si="3"/>
        <v>0</v>
      </c>
    </row>
    <row r="114" spans="9:10">
      <c r="I114" s="5"/>
      <c r="J114" s="5">
        <f t="shared" si="3"/>
        <v>0</v>
      </c>
    </row>
    <row r="115" spans="9:10">
      <c r="I115" s="5"/>
      <c r="J115" s="5">
        <f t="shared" si="3"/>
        <v>0</v>
      </c>
    </row>
    <row r="116" spans="9:10">
      <c r="I116" s="5"/>
      <c r="J116" s="5">
        <f t="shared" si="3"/>
        <v>0</v>
      </c>
    </row>
    <row r="117" spans="9:10">
      <c r="I117" s="5"/>
      <c r="J117" s="5">
        <f t="shared" si="3"/>
        <v>0</v>
      </c>
    </row>
    <row r="118" spans="9:10">
      <c r="I118" s="5"/>
      <c r="J118" s="5">
        <f t="shared" si="3"/>
        <v>0</v>
      </c>
    </row>
    <row r="119" spans="9:10">
      <c r="I119" s="5"/>
      <c r="J119" s="5">
        <f t="shared" si="3"/>
        <v>0</v>
      </c>
    </row>
    <row r="120" spans="9:10">
      <c r="I120" s="5"/>
      <c r="J120" s="5">
        <f t="shared" si="3"/>
        <v>0</v>
      </c>
    </row>
    <row r="121" spans="9:10">
      <c r="I121" s="5"/>
      <c r="J121" s="5">
        <f t="shared" si="3"/>
        <v>0</v>
      </c>
    </row>
    <row r="122" spans="9:10">
      <c r="I122" s="5"/>
      <c r="J122" s="5">
        <f t="shared" si="3"/>
        <v>0</v>
      </c>
    </row>
    <row r="123" spans="9:10">
      <c r="I123" s="5"/>
      <c r="J123" s="5">
        <f t="shared" si="3"/>
        <v>0</v>
      </c>
    </row>
    <row r="124" spans="9:10">
      <c r="I124" s="5"/>
      <c r="J124" s="5">
        <f t="shared" si="3"/>
        <v>0</v>
      </c>
    </row>
    <row r="125" spans="9:10">
      <c r="I125" s="5"/>
      <c r="J125" s="5">
        <f t="shared" si="3"/>
        <v>0</v>
      </c>
    </row>
    <row r="126" spans="9:10">
      <c r="I126" s="5"/>
      <c r="J126" s="5">
        <f t="shared" si="3"/>
        <v>0</v>
      </c>
    </row>
    <row r="127" spans="9:10">
      <c r="I127" s="5"/>
      <c r="J127" s="5">
        <f t="shared" si="3"/>
        <v>0</v>
      </c>
    </row>
    <row r="128" spans="9:10">
      <c r="I128" s="5"/>
      <c r="J128" s="5">
        <f t="shared" si="3"/>
        <v>0</v>
      </c>
    </row>
    <row r="129" spans="9:10">
      <c r="I129" s="5"/>
      <c r="J129" s="5">
        <f t="shared" si="3"/>
        <v>0</v>
      </c>
    </row>
    <row r="130" spans="9:10">
      <c r="I130" s="5"/>
      <c r="J130" s="5">
        <f t="shared" ref="J130:J161" si="4">H130*I130</f>
        <v>0</v>
      </c>
    </row>
    <row r="131" spans="9:10">
      <c r="I131" s="5"/>
      <c r="J131" s="5">
        <f t="shared" si="4"/>
        <v>0</v>
      </c>
    </row>
    <row r="132" spans="9:10">
      <c r="I132" s="5"/>
      <c r="J132" s="5">
        <f t="shared" si="4"/>
        <v>0</v>
      </c>
    </row>
    <row r="133" spans="9:10">
      <c r="I133" s="5"/>
      <c r="J133" s="5">
        <f t="shared" si="4"/>
        <v>0</v>
      </c>
    </row>
    <row r="134" spans="9:10">
      <c r="I134" s="5"/>
      <c r="J134" s="5">
        <f t="shared" si="4"/>
        <v>0</v>
      </c>
    </row>
    <row r="135" spans="9:10">
      <c r="I135" s="5"/>
      <c r="J135" s="5">
        <f t="shared" si="4"/>
        <v>0</v>
      </c>
    </row>
    <row r="136" spans="9:10">
      <c r="I136" s="5"/>
      <c r="J136" s="5">
        <f t="shared" si="4"/>
        <v>0</v>
      </c>
    </row>
    <row r="137" spans="9:10">
      <c r="I137" s="5"/>
      <c r="J137" s="5">
        <f t="shared" si="4"/>
        <v>0</v>
      </c>
    </row>
    <row r="138" spans="9:10">
      <c r="I138" s="5"/>
      <c r="J138" s="5">
        <f t="shared" si="4"/>
        <v>0</v>
      </c>
    </row>
    <row r="139" spans="9:10">
      <c r="I139" s="5"/>
      <c r="J139" s="5">
        <f t="shared" si="4"/>
        <v>0</v>
      </c>
    </row>
    <row r="140" spans="9:10">
      <c r="I140" s="5"/>
      <c r="J140" s="5">
        <f t="shared" si="4"/>
        <v>0</v>
      </c>
    </row>
    <row r="141" spans="9:10">
      <c r="I141" s="5"/>
      <c r="J141" s="5">
        <f t="shared" si="4"/>
        <v>0</v>
      </c>
    </row>
    <row r="142" spans="9:10">
      <c r="I142" s="5"/>
      <c r="J142" s="5">
        <f t="shared" si="4"/>
        <v>0</v>
      </c>
    </row>
    <row r="143" spans="9:10">
      <c r="I143" s="5"/>
      <c r="J143" s="5">
        <f t="shared" si="4"/>
        <v>0</v>
      </c>
    </row>
    <row r="144" spans="9:10">
      <c r="I144" s="5"/>
      <c r="J144" s="5">
        <f t="shared" si="4"/>
        <v>0</v>
      </c>
    </row>
    <row r="145" spans="9:10">
      <c r="I145" s="5"/>
      <c r="J145" s="5">
        <f t="shared" si="4"/>
        <v>0</v>
      </c>
    </row>
    <row r="146" spans="9:10">
      <c r="I146" s="5"/>
      <c r="J146" s="5">
        <f t="shared" si="4"/>
        <v>0</v>
      </c>
    </row>
    <row r="147" spans="9:10">
      <c r="I147" s="5"/>
      <c r="J147" s="5">
        <f t="shared" si="4"/>
        <v>0</v>
      </c>
    </row>
    <row r="148" spans="9:10">
      <c r="I148" s="5"/>
      <c r="J148" s="5">
        <f t="shared" si="4"/>
        <v>0</v>
      </c>
    </row>
    <row r="149" spans="9:10">
      <c r="I149" s="5"/>
      <c r="J149" s="5">
        <f t="shared" si="4"/>
        <v>0</v>
      </c>
    </row>
    <row r="150" spans="9:10">
      <c r="I150" s="5"/>
      <c r="J150" s="5">
        <f t="shared" si="4"/>
        <v>0</v>
      </c>
    </row>
    <row r="151" spans="9:10">
      <c r="I151" s="5"/>
      <c r="J151" s="5">
        <f t="shared" si="4"/>
        <v>0</v>
      </c>
    </row>
    <row r="152" spans="9:10">
      <c r="I152" s="5"/>
      <c r="J152" s="5">
        <f t="shared" si="4"/>
        <v>0</v>
      </c>
    </row>
    <row r="153" spans="9:10">
      <c r="I153" s="5"/>
      <c r="J153" s="5">
        <f t="shared" si="4"/>
        <v>0</v>
      </c>
    </row>
    <row r="154" spans="9:10">
      <c r="I154" s="5"/>
      <c r="J154" s="5">
        <f t="shared" si="4"/>
        <v>0</v>
      </c>
    </row>
    <row r="155" spans="9:10">
      <c r="I155" s="5"/>
      <c r="J155" s="5">
        <f t="shared" si="4"/>
        <v>0</v>
      </c>
    </row>
    <row r="156" spans="9:10">
      <c r="I156" s="5"/>
      <c r="J156" s="5">
        <f t="shared" si="4"/>
        <v>0</v>
      </c>
    </row>
    <row r="157" spans="9:10">
      <c r="I157" s="5"/>
      <c r="J157" s="5">
        <f t="shared" si="4"/>
        <v>0</v>
      </c>
    </row>
    <row r="158" spans="9:10">
      <c r="I158" s="5"/>
      <c r="J158" s="5">
        <f t="shared" si="4"/>
        <v>0</v>
      </c>
    </row>
    <row r="159" spans="9:10">
      <c r="I159" s="5"/>
      <c r="J159" s="5">
        <f t="shared" si="4"/>
        <v>0</v>
      </c>
    </row>
    <row r="160" spans="9:10">
      <c r="I160" s="5"/>
      <c r="J160" s="5">
        <f t="shared" si="4"/>
        <v>0</v>
      </c>
    </row>
    <row r="161" spans="9:10">
      <c r="I161" s="5"/>
      <c r="J161" s="5">
        <f t="shared" si="4"/>
        <v>0</v>
      </c>
    </row>
    <row r="162" spans="9:10">
      <c r="I162" s="5"/>
      <c r="J162" s="5">
        <f t="shared" ref="J162:J193" si="5">H162*I162</f>
        <v>0</v>
      </c>
    </row>
    <row r="163" spans="9:10">
      <c r="I163" s="5"/>
      <c r="J163" s="5">
        <f t="shared" si="5"/>
        <v>0</v>
      </c>
    </row>
    <row r="164" spans="9:10">
      <c r="I164" s="5"/>
      <c r="J164" s="5">
        <f t="shared" si="5"/>
        <v>0</v>
      </c>
    </row>
    <row r="165" spans="9:10">
      <c r="I165" s="5"/>
      <c r="J165" s="5">
        <f t="shared" si="5"/>
        <v>0</v>
      </c>
    </row>
    <row r="166" spans="9:10">
      <c r="I166" s="5"/>
      <c r="J166" s="5">
        <f t="shared" si="5"/>
        <v>0</v>
      </c>
    </row>
    <row r="167" spans="9:10">
      <c r="I167" s="5"/>
      <c r="J167" s="5">
        <f t="shared" si="5"/>
        <v>0</v>
      </c>
    </row>
    <row r="168" spans="9:10">
      <c r="I168" s="5"/>
      <c r="J168" s="5">
        <f t="shared" si="5"/>
        <v>0</v>
      </c>
    </row>
    <row r="169" spans="9:10">
      <c r="I169" s="5"/>
      <c r="J169" s="5">
        <f t="shared" si="5"/>
        <v>0</v>
      </c>
    </row>
    <row r="170" spans="9:10">
      <c r="I170" s="5"/>
      <c r="J170" s="5">
        <f t="shared" si="5"/>
        <v>0</v>
      </c>
    </row>
    <row r="171" spans="9:10">
      <c r="I171" s="5"/>
      <c r="J171" s="5">
        <f t="shared" si="5"/>
        <v>0</v>
      </c>
    </row>
    <row r="172" spans="9:10">
      <c r="I172" s="5"/>
      <c r="J172" s="5">
        <f t="shared" si="5"/>
        <v>0</v>
      </c>
    </row>
    <row r="173" spans="9:10">
      <c r="I173" s="5"/>
      <c r="J173" s="5">
        <f t="shared" si="5"/>
        <v>0</v>
      </c>
    </row>
    <row r="174" spans="9:10">
      <c r="I174" s="5"/>
      <c r="J174" s="5">
        <f t="shared" si="5"/>
        <v>0</v>
      </c>
    </row>
    <row r="175" spans="9:10">
      <c r="I175" s="5"/>
      <c r="J175" s="5">
        <f t="shared" si="5"/>
        <v>0</v>
      </c>
    </row>
    <row r="176" spans="9:10">
      <c r="I176" s="5"/>
      <c r="J176" s="5">
        <f t="shared" si="5"/>
        <v>0</v>
      </c>
    </row>
    <row r="177" spans="9:10">
      <c r="I177" s="5"/>
      <c r="J177" s="5">
        <f t="shared" si="5"/>
        <v>0</v>
      </c>
    </row>
    <row r="178" spans="9:10">
      <c r="I178" s="5"/>
      <c r="J178" s="5">
        <f t="shared" si="5"/>
        <v>0</v>
      </c>
    </row>
    <row r="179" spans="9:10">
      <c r="I179" s="5"/>
      <c r="J179" s="5">
        <f t="shared" si="5"/>
        <v>0</v>
      </c>
    </row>
    <row r="180" spans="9:10">
      <c r="I180" s="5"/>
      <c r="J180" s="5">
        <f t="shared" si="5"/>
        <v>0</v>
      </c>
    </row>
    <row r="181" spans="9:10">
      <c r="I181" s="5"/>
      <c r="J181" s="5">
        <f t="shared" si="5"/>
        <v>0</v>
      </c>
    </row>
    <row r="182" spans="9:10">
      <c r="I182" s="5"/>
      <c r="J182" s="5">
        <f t="shared" si="5"/>
        <v>0</v>
      </c>
    </row>
    <row r="183" spans="9:10">
      <c r="I183" s="5"/>
      <c r="J183" s="5">
        <f t="shared" si="5"/>
        <v>0</v>
      </c>
    </row>
    <row r="184" spans="9:10">
      <c r="I184" s="5"/>
      <c r="J184" s="5">
        <f t="shared" si="5"/>
        <v>0</v>
      </c>
    </row>
    <row r="185" spans="9:10">
      <c r="I185" s="5"/>
      <c r="J185" s="5">
        <f t="shared" si="5"/>
        <v>0</v>
      </c>
    </row>
    <row r="186" spans="9:10">
      <c r="I186" s="5"/>
      <c r="J186" s="5">
        <f t="shared" si="5"/>
        <v>0</v>
      </c>
    </row>
    <row r="187" spans="9:10">
      <c r="I187" s="5"/>
      <c r="J187" s="5">
        <f t="shared" si="5"/>
        <v>0</v>
      </c>
    </row>
    <row r="188" spans="9:10">
      <c r="I188" s="5"/>
      <c r="J188" s="5">
        <f t="shared" si="5"/>
        <v>0</v>
      </c>
    </row>
    <row r="189" spans="9:10">
      <c r="I189" s="5"/>
      <c r="J189" s="5">
        <f t="shared" si="5"/>
        <v>0</v>
      </c>
    </row>
    <row r="190" spans="9:10">
      <c r="I190" s="5"/>
      <c r="J190" s="5">
        <f t="shared" si="5"/>
        <v>0</v>
      </c>
    </row>
    <row r="191" spans="9:10">
      <c r="I191" s="5"/>
      <c r="J191" s="5">
        <f t="shared" si="5"/>
        <v>0</v>
      </c>
    </row>
    <row r="192" spans="9:10">
      <c r="I192" s="5"/>
      <c r="J192" s="5">
        <f t="shared" si="5"/>
        <v>0</v>
      </c>
    </row>
    <row r="193" spans="9:10">
      <c r="I193" s="5"/>
      <c r="J193" s="5">
        <f t="shared" si="5"/>
        <v>0</v>
      </c>
    </row>
    <row r="194" spans="9:10">
      <c r="I194" s="5"/>
      <c r="J194" s="5">
        <f t="shared" ref="J194:J225" si="6">H194*I194</f>
        <v>0</v>
      </c>
    </row>
    <row r="195" spans="9:10">
      <c r="I195" s="5"/>
      <c r="J195" s="5">
        <f t="shared" si="6"/>
        <v>0</v>
      </c>
    </row>
    <row r="196" spans="9:10">
      <c r="I196" s="5"/>
      <c r="J196" s="5">
        <f t="shared" si="6"/>
        <v>0</v>
      </c>
    </row>
    <row r="197" spans="9:10">
      <c r="I197" s="5"/>
      <c r="J197" s="5">
        <f t="shared" si="6"/>
        <v>0</v>
      </c>
    </row>
    <row r="198" spans="9:10">
      <c r="I198" s="5"/>
      <c r="J198" s="5">
        <f t="shared" si="6"/>
        <v>0</v>
      </c>
    </row>
    <row r="199" spans="9:10">
      <c r="I199" s="5"/>
      <c r="J199" s="5">
        <f t="shared" si="6"/>
        <v>0</v>
      </c>
    </row>
    <row r="200" spans="9:10">
      <c r="I200" s="5"/>
      <c r="J200" s="5">
        <f t="shared" si="6"/>
        <v>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"/>
  <sheetViews>
    <sheetView workbookViewId="0"/>
  </sheetViews>
  <sheetFormatPr defaultRowHeight="14.25"/>
  <cols>
    <col min="1" max="7" width="18" customWidth="1"/>
    <col min="8" max="8" width="34" customWidth="1"/>
    <col min="9" max="12" width="18" customWidth="1"/>
    <col min="13" max="13" width="34" customWidth="1"/>
  </cols>
  <sheetData>
    <row r="1" spans="1:13" ht="30">
      <c r="A1" s="2" t="s">
        <v>905</v>
      </c>
      <c r="B1" s="2" t="s">
        <v>136</v>
      </c>
      <c r="C1" s="2" t="s">
        <v>600</v>
      </c>
      <c r="D1" s="2" t="s">
        <v>138</v>
      </c>
      <c r="E1" s="2" t="s">
        <v>906</v>
      </c>
      <c r="F1" s="2" t="s">
        <v>907</v>
      </c>
      <c r="G1" s="2" t="s">
        <v>908</v>
      </c>
      <c r="H1" s="2" t="s">
        <v>909</v>
      </c>
      <c r="I1" s="2" t="s">
        <v>910</v>
      </c>
      <c r="J1" s="2" t="s">
        <v>911</v>
      </c>
      <c r="K1" s="2" t="s">
        <v>912</v>
      </c>
      <c r="L1" s="2" t="s">
        <v>147</v>
      </c>
      <c r="M1" s="2" t="s">
        <v>36</v>
      </c>
    </row>
    <row r="2" spans="1:13" ht="28.5">
      <c r="A2" s="3" t="s">
        <v>913</v>
      </c>
      <c r="B2" s="3" t="s">
        <v>914</v>
      </c>
      <c r="C2" s="3" t="s">
        <v>915</v>
      </c>
      <c r="D2" s="3" t="s">
        <v>916</v>
      </c>
      <c r="E2" s="3" t="s">
        <v>151</v>
      </c>
      <c r="F2" s="3" t="s">
        <v>917</v>
      </c>
      <c r="G2" s="3" t="s">
        <v>918</v>
      </c>
      <c r="H2" s="3" t="s">
        <v>919</v>
      </c>
      <c r="I2" s="3" t="s">
        <v>344</v>
      </c>
      <c r="J2" s="3" t="s">
        <v>344</v>
      </c>
      <c r="K2" s="3" t="s">
        <v>920</v>
      </c>
      <c r="L2" s="3" t="s">
        <v>82</v>
      </c>
      <c r="M2" s="3" t="s">
        <v>921</v>
      </c>
    </row>
    <row r="3" spans="1:13" ht="28.5">
      <c r="A3" s="3" t="s">
        <v>922</v>
      </c>
      <c r="B3" s="3" t="s">
        <v>914</v>
      </c>
      <c r="C3" s="3" t="s">
        <v>923</v>
      </c>
      <c r="D3" s="3" t="s">
        <v>924</v>
      </c>
      <c r="E3" s="3" t="s">
        <v>165</v>
      </c>
      <c r="F3" s="3" t="s">
        <v>925</v>
      </c>
      <c r="G3" s="3" t="s">
        <v>926</v>
      </c>
      <c r="H3" s="3" t="s">
        <v>927</v>
      </c>
      <c r="I3" s="3" t="s">
        <v>345</v>
      </c>
      <c r="J3" s="3" t="s">
        <v>345</v>
      </c>
      <c r="K3" s="3" t="s">
        <v>928</v>
      </c>
      <c r="L3" s="3" t="s">
        <v>82</v>
      </c>
      <c r="M3" s="3" t="s">
        <v>929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00"/>
  <sheetViews>
    <sheetView workbookViewId="0"/>
  </sheetViews>
  <sheetFormatPr defaultRowHeight="14.25"/>
  <cols>
    <col min="1" max="5" width="18" customWidth="1"/>
    <col min="6" max="6" width="34" customWidth="1"/>
    <col min="7" max="12" width="18" customWidth="1"/>
    <col min="13" max="13" width="34" customWidth="1"/>
  </cols>
  <sheetData>
    <row r="1" spans="1:13" ht="30">
      <c r="A1" s="2" t="s">
        <v>930</v>
      </c>
      <c r="B1" s="2" t="s">
        <v>600</v>
      </c>
      <c r="C1" s="2" t="s">
        <v>138</v>
      </c>
      <c r="D1" s="2" t="s">
        <v>931</v>
      </c>
      <c r="E1" s="2" t="s">
        <v>932</v>
      </c>
      <c r="F1" s="2" t="s">
        <v>933</v>
      </c>
      <c r="G1" s="2" t="s">
        <v>934</v>
      </c>
      <c r="H1" s="2" t="s">
        <v>935</v>
      </c>
      <c r="I1" s="2" t="s">
        <v>936</v>
      </c>
      <c r="J1" s="2" t="s">
        <v>937</v>
      </c>
      <c r="K1" s="2" t="s">
        <v>938</v>
      </c>
      <c r="L1" s="2" t="s">
        <v>403</v>
      </c>
      <c r="M1" s="2" t="s">
        <v>36</v>
      </c>
    </row>
    <row r="2" spans="1:13" ht="42.75">
      <c r="A2" s="3" t="s">
        <v>939</v>
      </c>
      <c r="B2" s="3" t="s">
        <v>568</v>
      </c>
      <c r="C2" s="3" t="s">
        <v>152</v>
      </c>
      <c r="D2" s="3" t="s">
        <v>940</v>
      </c>
      <c r="E2" s="3" t="s">
        <v>941</v>
      </c>
      <c r="F2" s="3" t="s">
        <v>942</v>
      </c>
      <c r="G2" s="4">
        <v>5000</v>
      </c>
      <c r="H2" s="3" t="s">
        <v>345</v>
      </c>
      <c r="I2" s="3" t="s">
        <v>943</v>
      </c>
      <c r="J2" s="3" t="s">
        <v>944</v>
      </c>
      <c r="K2" s="3" t="s">
        <v>118</v>
      </c>
      <c r="L2" s="3" t="s">
        <v>126</v>
      </c>
      <c r="M2" s="3" t="s">
        <v>163</v>
      </c>
    </row>
    <row r="3" spans="1:13" ht="42.75">
      <c r="A3" s="3" t="s">
        <v>945</v>
      </c>
      <c r="B3" s="3" t="s">
        <v>571</v>
      </c>
      <c r="C3" s="3" t="s">
        <v>166</v>
      </c>
      <c r="D3" s="3" t="s">
        <v>946</v>
      </c>
      <c r="E3" s="3" t="s">
        <v>947</v>
      </c>
      <c r="F3" s="3" t="s">
        <v>948</v>
      </c>
      <c r="G3" s="4">
        <v>2500</v>
      </c>
      <c r="H3" s="3" t="s">
        <v>345</v>
      </c>
      <c r="I3" s="3" t="s">
        <v>949</v>
      </c>
      <c r="J3" s="3" t="s">
        <v>950</v>
      </c>
      <c r="K3" s="3" t="s">
        <v>118</v>
      </c>
      <c r="L3" s="3" t="s">
        <v>126</v>
      </c>
      <c r="M3" s="3"/>
    </row>
    <row r="4" spans="1:13" ht="28.5">
      <c r="A4" s="3" t="s">
        <v>951</v>
      </c>
      <c r="B4" s="3" t="s">
        <v>574</v>
      </c>
      <c r="C4" s="3" t="s">
        <v>180</v>
      </c>
      <c r="D4" s="3" t="s">
        <v>185</v>
      </c>
      <c r="E4" s="3" t="s">
        <v>952</v>
      </c>
      <c r="F4" s="3" t="s">
        <v>953</v>
      </c>
      <c r="G4" s="4">
        <v>1000</v>
      </c>
      <c r="H4" s="3" t="s">
        <v>345</v>
      </c>
      <c r="I4" s="3" t="s">
        <v>949</v>
      </c>
      <c r="J4" s="3" t="s">
        <v>954</v>
      </c>
      <c r="K4" s="3" t="s">
        <v>82</v>
      </c>
      <c r="L4" s="3" t="s">
        <v>123</v>
      </c>
      <c r="M4" s="3" t="s">
        <v>955</v>
      </c>
    </row>
    <row r="5" spans="1:13">
      <c r="G5" s="5"/>
    </row>
    <row r="6" spans="1:13">
      <c r="G6" s="5"/>
    </row>
    <row r="7" spans="1:13">
      <c r="G7" s="5"/>
    </row>
    <row r="8" spans="1:13">
      <c r="G8" s="5"/>
    </row>
    <row r="9" spans="1:13">
      <c r="G9" s="5"/>
    </row>
    <row r="10" spans="1:13">
      <c r="G10" s="5"/>
    </row>
    <row r="11" spans="1:13">
      <c r="G11" s="5"/>
    </row>
    <row r="12" spans="1:13">
      <c r="G12" s="5"/>
    </row>
    <row r="13" spans="1:13">
      <c r="G13" s="5"/>
    </row>
    <row r="14" spans="1:13">
      <c r="G14" s="5"/>
    </row>
    <row r="15" spans="1:13">
      <c r="G15" s="5"/>
    </row>
    <row r="16" spans="1:13">
      <c r="G16" s="5"/>
    </row>
    <row r="17" spans="7:7">
      <c r="G17" s="5"/>
    </row>
    <row r="18" spans="7:7">
      <c r="G18" s="5"/>
    </row>
    <row r="19" spans="7:7">
      <c r="G19" s="5"/>
    </row>
    <row r="20" spans="7:7">
      <c r="G20" s="5"/>
    </row>
    <row r="21" spans="7:7">
      <c r="G21" s="5"/>
    </row>
    <row r="22" spans="7:7">
      <c r="G22" s="5"/>
    </row>
    <row r="23" spans="7:7">
      <c r="G23" s="5"/>
    </row>
    <row r="24" spans="7:7">
      <c r="G24" s="5"/>
    </row>
    <row r="25" spans="7:7">
      <c r="G25" s="5"/>
    </row>
    <row r="26" spans="7:7">
      <c r="G26" s="5"/>
    </row>
    <row r="27" spans="7:7">
      <c r="G27" s="5"/>
    </row>
    <row r="28" spans="7:7">
      <c r="G28" s="5"/>
    </row>
    <row r="29" spans="7:7">
      <c r="G29" s="5"/>
    </row>
    <row r="30" spans="7:7">
      <c r="G30" s="5"/>
    </row>
    <row r="31" spans="7:7">
      <c r="G31" s="5"/>
    </row>
    <row r="32" spans="7:7">
      <c r="G32" s="5"/>
    </row>
    <row r="33" spans="7:7">
      <c r="G33" s="5"/>
    </row>
    <row r="34" spans="7:7">
      <c r="G34" s="5"/>
    </row>
    <row r="35" spans="7:7">
      <c r="G35" s="5"/>
    </row>
    <row r="36" spans="7:7">
      <c r="G36" s="5"/>
    </row>
    <row r="37" spans="7:7">
      <c r="G37" s="5"/>
    </row>
    <row r="38" spans="7:7">
      <c r="G38" s="5"/>
    </row>
    <row r="39" spans="7:7">
      <c r="G39" s="5"/>
    </row>
    <row r="40" spans="7:7">
      <c r="G40" s="5"/>
    </row>
    <row r="41" spans="7:7">
      <c r="G41" s="5"/>
    </row>
    <row r="42" spans="7:7">
      <c r="G42" s="5"/>
    </row>
    <row r="43" spans="7:7">
      <c r="G43" s="5"/>
    </row>
    <row r="44" spans="7:7">
      <c r="G44" s="5"/>
    </row>
    <row r="45" spans="7:7">
      <c r="G45" s="5"/>
    </row>
    <row r="46" spans="7:7">
      <c r="G46" s="5"/>
    </row>
    <row r="47" spans="7:7">
      <c r="G47" s="5"/>
    </row>
    <row r="48" spans="7:7">
      <c r="G48" s="5"/>
    </row>
    <row r="49" spans="7:7">
      <c r="G49" s="5"/>
    </row>
    <row r="50" spans="7:7">
      <c r="G50" s="5"/>
    </row>
    <row r="51" spans="7:7">
      <c r="G51" s="5"/>
    </row>
    <row r="52" spans="7:7">
      <c r="G52" s="5"/>
    </row>
    <row r="53" spans="7:7">
      <c r="G53" s="5"/>
    </row>
    <row r="54" spans="7:7">
      <c r="G54" s="5"/>
    </row>
    <row r="55" spans="7:7">
      <c r="G55" s="5"/>
    </row>
    <row r="56" spans="7:7">
      <c r="G56" s="5"/>
    </row>
    <row r="57" spans="7:7">
      <c r="G57" s="5"/>
    </row>
    <row r="58" spans="7:7">
      <c r="G58" s="5"/>
    </row>
    <row r="59" spans="7:7">
      <c r="G59" s="5"/>
    </row>
    <row r="60" spans="7:7">
      <c r="G60" s="5"/>
    </row>
    <row r="61" spans="7:7">
      <c r="G61" s="5"/>
    </row>
    <row r="62" spans="7:7">
      <c r="G62" s="5"/>
    </row>
    <row r="63" spans="7:7">
      <c r="G63" s="5"/>
    </row>
    <row r="64" spans="7:7">
      <c r="G64" s="5"/>
    </row>
    <row r="65" spans="7:7">
      <c r="G65" s="5"/>
    </row>
    <row r="66" spans="7:7">
      <c r="G66" s="5"/>
    </row>
    <row r="67" spans="7:7">
      <c r="G67" s="5"/>
    </row>
    <row r="68" spans="7:7">
      <c r="G68" s="5"/>
    </row>
    <row r="69" spans="7:7">
      <c r="G69" s="5"/>
    </row>
    <row r="70" spans="7:7">
      <c r="G70" s="5"/>
    </row>
    <row r="71" spans="7:7">
      <c r="G71" s="5"/>
    </row>
    <row r="72" spans="7:7">
      <c r="G72" s="5"/>
    </row>
    <row r="73" spans="7:7">
      <c r="G73" s="5"/>
    </row>
    <row r="74" spans="7:7">
      <c r="G74" s="5"/>
    </row>
    <row r="75" spans="7:7">
      <c r="G75" s="5"/>
    </row>
    <row r="76" spans="7:7">
      <c r="G76" s="5"/>
    </row>
    <row r="77" spans="7:7">
      <c r="G77" s="5"/>
    </row>
    <row r="78" spans="7:7">
      <c r="G78" s="5"/>
    </row>
    <row r="79" spans="7:7">
      <c r="G79" s="5"/>
    </row>
    <row r="80" spans="7:7">
      <c r="G80" s="5"/>
    </row>
    <row r="81" spans="7:7">
      <c r="G81" s="5"/>
    </row>
    <row r="82" spans="7:7">
      <c r="G82" s="5"/>
    </row>
    <row r="83" spans="7:7">
      <c r="G83" s="5"/>
    </row>
    <row r="84" spans="7:7">
      <c r="G84" s="5"/>
    </row>
    <row r="85" spans="7:7">
      <c r="G85" s="5"/>
    </row>
    <row r="86" spans="7:7">
      <c r="G86" s="5"/>
    </row>
    <row r="87" spans="7:7">
      <c r="G87" s="5"/>
    </row>
    <row r="88" spans="7:7">
      <c r="G88" s="5"/>
    </row>
    <row r="89" spans="7:7">
      <c r="G89" s="5"/>
    </row>
    <row r="90" spans="7:7">
      <c r="G90" s="5"/>
    </row>
    <row r="91" spans="7:7">
      <c r="G91" s="5"/>
    </row>
    <row r="92" spans="7:7">
      <c r="G92" s="5"/>
    </row>
    <row r="93" spans="7:7">
      <c r="G93" s="5"/>
    </row>
    <row r="94" spans="7:7">
      <c r="G94" s="5"/>
    </row>
    <row r="95" spans="7:7">
      <c r="G95" s="5"/>
    </row>
    <row r="96" spans="7:7">
      <c r="G96" s="5"/>
    </row>
    <row r="97" spans="7:7">
      <c r="G97" s="5"/>
    </row>
    <row r="98" spans="7:7">
      <c r="G98" s="5"/>
    </row>
    <row r="99" spans="7:7">
      <c r="G99" s="5"/>
    </row>
    <row r="100" spans="7:7">
      <c r="G100" s="5"/>
    </row>
    <row r="101" spans="7:7">
      <c r="G101" s="5"/>
    </row>
    <row r="102" spans="7:7">
      <c r="G102" s="5"/>
    </row>
    <row r="103" spans="7:7">
      <c r="G103" s="5"/>
    </row>
    <row r="104" spans="7:7">
      <c r="G104" s="5"/>
    </row>
    <row r="105" spans="7:7">
      <c r="G105" s="5"/>
    </row>
    <row r="106" spans="7:7">
      <c r="G106" s="5"/>
    </row>
    <row r="107" spans="7:7">
      <c r="G107" s="5"/>
    </row>
    <row r="108" spans="7:7">
      <c r="G108" s="5"/>
    </row>
    <row r="109" spans="7:7">
      <c r="G109" s="5"/>
    </row>
    <row r="110" spans="7:7">
      <c r="G110" s="5"/>
    </row>
    <row r="111" spans="7:7">
      <c r="G111" s="5"/>
    </row>
    <row r="112" spans="7:7">
      <c r="G112" s="5"/>
    </row>
    <row r="113" spans="7:7">
      <c r="G113" s="5"/>
    </row>
    <row r="114" spans="7:7">
      <c r="G114" s="5"/>
    </row>
    <row r="115" spans="7:7">
      <c r="G115" s="5"/>
    </row>
    <row r="116" spans="7:7">
      <c r="G116" s="5"/>
    </row>
    <row r="117" spans="7:7">
      <c r="G117" s="5"/>
    </row>
    <row r="118" spans="7:7">
      <c r="G118" s="5"/>
    </row>
    <row r="119" spans="7:7">
      <c r="G119" s="5"/>
    </row>
    <row r="120" spans="7:7">
      <c r="G120" s="5"/>
    </row>
    <row r="121" spans="7:7">
      <c r="G121" s="5"/>
    </row>
    <row r="122" spans="7:7">
      <c r="G122" s="5"/>
    </row>
    <row r="123" spans="7:7">
      <c r="G123" s="5"/>
    </row>
    <row r="124" spans="7:7">
      <c r="G124" s="5"/>
    </row>
    <row r="125" spans="7:7">
      <c r="G125" s="5"/>
    </row>
    <row r="126" spans="7:7">
      <c r="G126" s="5"/>
    </row>
    <row r="127" spans="7:7">
      <c r="G127" s="5"/>
    </row>
    <row r="128" spans="7:7">
      <c r="G128" s="5"/>
    </row>
    <row r="129" spans="7:7">
      <c r="G129" s="5"/>
    </row>
    <row r="130" spans="7:7">
      <c r="G130" s="5"/>
    </row>
    <row r="131" spans="7:7">
      <c r="G131" s="5"/>
    </row>
    <row r="132" spans="7:7">
      <c r="G132" s="5"/>
    </row>
    <row r="133" spans="7:7">
      <c r="G133" s="5"/>
    </row>
    <row r="134" spans="7:7">
      <c r="G134" s="5"/>
    </row>
    <row r="135" spans="7:7">
      <c r="G135" s="5"/>
    </row>
    <row r="136" spans="7:7">
      <c r="G136" s="5"/>
    </row>
    <row r="137" spans="7:7">
      <c r="G137" s="5"/>
    </row>
    <row r="138" spans="7:7">
      <c r="G138" s="5"/>
    </row>
    <row r="139" spans="7:7">
      <c r="G139" s="5"/>
    </row>
    <row r="140" spans="7:7">
      <c r="G140" s="5"/>
    </row>
    <row r="141" spans="7:7">
      <c r="G141" s="5"/>
    </row>
    <row r="142" spans="7:7">
      <c r="G142" s="5"/>
    </row>
    <row r="143" spans="7:7">
      <c r="G143" s="5"/>
    </row>
    <row r="144" spans="7:7">
      <c r="G144" s="5"/>
    </row>
    <row r="145" spans="7:7">
      <c r="G145" s="5"/>
    </row>
    <row r="146" spans="7:7">
      <c r="G146" s="5"/>
    </row>
    <row r="147" spans="7:7">
      <c r="G147" s="5"/>
    </row>
    <row r="148" spans="7:7">
      <c r="G148" s="5"/>
    </row>
    <row r="149" spans="7:7">
      <c r="G149" s="5"/>
    </row>
    <row r="150" spans="7:7">
      <c r="G150" s="5"/>
    </row>
    <row r="151" spans="7:7">
      <c r="G151" s="5"/>
    </row>
    <row r="152" spans="7:7">
      <c r="G152" s="5"/>
    </row>
    <row r="153" spans="7:7">
      <c r="G153" s="5"/>
    </row>
    <row r="154" spans="7:7">
      <c r="G154" s="5"/>
    </row>
    <row r="155" spans="7:7">
      <c r="G155" s="5"/>
    </row>
    <row r="156" spans="7:7">
      <c r="G156" s="5"/>
    </row>
    <row r="157" spans="7:7">
      <c r="G157" s="5"/>
    </row>
    <row r="158" spans="7:7">
      <c r="G158" s="5"/>
    </row>
    <row r="159" spans="7:7">
      <c r="G159" s="5"/>
    </row>
    <row r="160" spans="7:7">
      <c r="G160" s="5"/>
    </row>
    <row r="161" spans="7:7">
      <c r="G161" s="5"/>
    </row>
    <row r="162" spans="7:7">
      <c r="G162" s="5"/>
    </row>
    <row r="163" spans="7:7">
      <c r="G163" s="5"/>
    </row>
    <row r="164" spans="7:7">
      <c r="G164" s="5"/>
    </row>
    <row r="165" spans="7:7">
      <c r="G165" s="5"/>
    </row>
    <row r="166" spans="7:7">
      <c r="G166" s="5"/>
    </row>
    <row r="167" spans="7:7">
      <c r="G167" s="5"/>
    </row>
    <row r="168" spans="7:7">
      <c r="G168" s="5"/>
    </row>
    <row r="169" spans="7:7">
      <c r="G169" s="5"/>
    </row>
    <row r="170" spans="7:7">
      <c r="G170" s="5"/>
    </row>
    <row r="171" spans="7:7">
      <c r="G171" s="5"/>
    </row>
    <row r="172" spans="7:7">
      <c r="G172" s="5"/>
    </row>
    <row r="173" spans="7:7">
      <c r="G173" s="5"/>
    </row>
    <row r="174" spans="7:7">
      <c r="G174" s="5"/>
    </row>
    <row r="175" spans="7:7">
      <c r="G175" s="5"/>
    </row>
    <row r="176" spans="7:7">
      <c r="G176" s="5"/>
    </row>
    <row r="177" spans="7:7">
      <c r="G177" s="5"/>
    </row>
    <row r="178" spans="7:7">
      <c r="G178" s="5"/>
    </row>
    <row r="179" spans="7:7">
      <c r="G179" s="5"/>
    </row>
    <row r="180" spans="7:7">
      <c r="G180" s="5"/>
    </row>
    <row r="181" spans="7:7">
      <c r="G181" s="5"/>
    </row>
    <row r="182" spans="7:7">
      <c r="G182" s="5"/>
    </row>
    <row r="183" spans="7:7">
      <c r="G183" s="5"/>
    </row>
    <row r="184" spans="7:7">
      <c r="G184" s="5"/>
    </row>
    <row r="185" spans="7:7">
      <c r="G185" s="5"/>
    </row>
    <row r="186" spans="7:7">
      <c r="G186" s="5"/>
    </row>
    <row r="187" spans="7:7">
      <c r="G187" s="5"/>
    </row>
    <row r="188" spans="7:7">
      <c r="G188" s="5"/>
    </row>
    <row r="189" spans="7:7">
      <c r="G189" s="5"/>
    </row>
    <row r="190" spans="7:7">
      <c r="G190" s="5"/>
    </row>
    <row r="191" spans="7:7">
      <c r="G191" s="5"/>
    </row>
    <row r="192" spans="7:7">
      <c r="G192" s="5"/>
    </row>
    <row r="193" spans="7:7">
      <c r="G193" s="5"/>
    </row>
    <row r="194" spans="7:7">
      <c r="G194" s="5"/>
    </row>
    <row r="195" spans="7:7">
      <c r="G195" s="5"/>
    </row>
    <row r="196" spans="7:7">
      <c r="G196" s="5"/>
    </row>
    <row r="197" spans="7:7">
      <c r="G197" s="5"/>
    </row>
    <row r="198" spans="7:7">
      <c r="G198" s="5"/>
    </row>
    <row r="199" spans="7:7">
      <c r="G199" s="5"/>
    </row>
    <row r="200" spans="7:7">
      <c r="G200" s="5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"/>
  <sheetViews>
    <sheetView workbookViewId="0"/>
  </sheetViews>
  <sheetFormatPr defaultRowHeight="14.25"/>
  <cols>
    <col min="1" max="5" width="18" customWidth="1"/>
    <col min="6" max="6" width="34" customWidth="1"/>
    <col min="7" max="9" width="18" customWidth="1"/>
    <col min="10" max="10" width="34" customWidth="1"/>
    <col min="11" max="12" width="18" customWidth="1"/>
  </cols>
  <sheetData>
    <row r="1" spans="1:12" ht="30">
      <c r="A1" s="2" t="s">
        <v>956</v>
      </c>
      <c r="B1" s="2" t="s">
        <v>600</v>
      </c>
      <c r="C1" s="2" t="s">
        <v>138</v>
      </c>
      <c r="D1" s="2" t="s">
        <v>957</v>
      </c>
      <c r="E1" s="2" t="s">
        <v>958</v>
      </c>
      <c r="F1" s="2" t="s">
        <v>959</v>
      </c>
      <c r="G1" s="2" t="s">
        <v>84</v>
      </c>
      <c r="H1" s="2" t="s">
        <v>960</v>
      </c>
      <c r="I1" s="2" t="s">
        <v>961</v>
      </c>
      <c r="J1" s="2" t="s">
        <v>962</v>
      </c>
      <c r="K1" s="2" t="s">
        <v>147</v>
      </c>
      <c r="L1" s="2" t="s">
        <v>403</v>
      </c>
    </row>
    <row r="2" spans="1:12" ht="28.5">
      <c r="A2" s="3" t="s">
        <v>963</v>
      </c>
      <c r="B2" s="3" t="s">
        <v>568</v>
      </c>
      <c r="C2" s="3" t="s">
        <v>152</v>
      </c>
      <c r="D2" s="3" t="s">
        <v>158</v>
      </c>
      <c r="E2" s="3" t="s">
        <v>964</v>
      </c>
      <c r="F2" s="3" t="s">
        <v>965</v>
      </c>
      <c r="G2" s="3" t="s">
        <v>346</v>
      </c>
      <c r="H2" s="3" t="s">
        <v>210</v>
      </c>
      <c r="I2" s="3" t="s">
        <v>940</v>
      </c>
      <c r="J2" s="3" t="s">
        <v>966</v>
      </c>
      <c r="K2" s="3" t="s">
        <v>967</v>
      </c>
      <c r="L2" s="3"/>
    </row>
    <row r="3" spans="1:12" ht="28.5">
      <c r="A3" s="3" t="s">
        <v>968</v>
      </c>
      <c r="B3" s="3" t="s">
        <v>571</v>
      </c>
      <c r="C3" s="3" t="s">
        <v>166</v>
      </c>
      <c r="D3" s="3" t="s">
        <v>172</v>
      </c>
      <c r="E3" s="3" t="s">
        <v>969</v>
      </c>
      <c r="F3" s="3" t="s">
        <v>970</v>
      </c>
      <c r="G3" s="3" t="s">
        <v>365</v>
      </c>
      <c r="H3" s="3" t="s">
        <v>283</v>
      </c>
      <c r="I3" s="3" t="s">
        <v>946</v>
      </c>
      <c r="J3" s="3" t="s">
        <v>971</v>
      </c>
      <c r="K3" s="3" t="s">
        <v>967</v>
      </c>
      <c r="L3" s="3"/>
    </row>
    <row r="4" spans="1:12">
      <c r="A4" s="3" t="s">
        <v>972</v>
      </c>
      <c r="B4" s="3" t="s">
        <v>574</v>
      </c>
      <c r="C4" s="3" t="s">
        <v>180</v>
      </c>
      <c r="D4" s="3" t="s">
        <v>185</v>
      </c>
      <c r="E4" s="3" t="s">
        <v>973</v>
      </c>
      <c r="F4" s="3" t="s">
        <v>974</v>
      </c>
      <c r="G4" s="3" t="s">
        <v>346</v>
      </c>
      <c r="H4" s="3" t="s">
        <v>605</v>
      </c>
      <c r="I4" s="3" t="s">
        <v>975</v>
      </c>
      <c r="J4" s="3" t="s">
        <v>976</v>
      </c>
      <c r="K4" s="3" t="s">
        <v>82</v>
      </c>
      <c r="L4" s="3" t="s">
        <v>977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4"/>
  <sheetViews>
    <sheetView workbookViewId="0"/>
  </sheetViews>
  <sheetFormatPr defaultRowHeight="14.25"/>
  <cols>
    <col min="1" max="4" width="18" customWidth="1"/>
    <col min="5" max="5" width="34" customWidth="1"/>
    <col min="6" max="6" width="18" customWidth="1"/>
    <col min="7" max="7" width="34" customWidth="1"/>
    <col min="8" max="8" width="18" customWidth="1"/>
    <col min="9" max="9" width="34" customWidth="1"/>
    <col min="10" max="11" width="18" customWidth="1"/>
  </cols>
  <sheetData>
    <row r="1" spans="1:11" ht="15">
      <c r="A1" s="2" t="s">
        <v>905</v>
      </c>
      <c r="B1" s="2" t="s">
        <v>600</v>
      </c>
      <c r="C1" s="2" t="s">
        <v>906</v>
      </c>
      <c r="D1" s="2" t="s">
        <v>978</v>
      </c>
      <c r="E1" s="2" t="s">
        <v>933</v>
      </c>
      <c r="F1" s="2" t="s">
        <v>979</v>
      </c>
      <c r="G1" s="2" t="s">
        <v>909</v>
      </c>
      <c r="H1" s="2" t="s">
        <v>768</v>
      </c>
      <c r="I1" s="2" t="s">
        <v>980</v>
      </c>
      <c r="J1" s="2" t="s">
        <v>147</v>
      </c>
      <c r="K1" s="2" t="s">
        <v>981</v>
      </c>
    </row>
    <row r="2" spans="1:11" ht="28.5">
      <c r="A2" s="3" t="s">
        <v>982</v>
      </c>
      <c r="B2" s="3" t="s">
        <v>574</v>
      </c>
      <c r="C2" s="3" t="s">
        <v>185</v>
      </c>
      <c r="D2" s="3" t="s">
        <v>983</v>
      </c>
      <c r="E2" s="3" t="s">
        <v>984</v>
      </c>
      <c r="F2" s="3" t="s">
        <v>346</v>
      </c>
      <c r="G2" s="3" t="s">
        <v>985</v>
      </c>
      <c r="H2" s="3" t="s">
        <v>605</v>
      </c>
      <c r="I2" s="3" t="s">
        <v>986</v>
      </c>
      <c r="J2" s="3" t="s">
        <v>82</v>
      </c>
      <c r="K2" s="3" t="s">
        <v>987</v>
      </c>
    </row>
    <row r="3" spans="1:11" ht="28.5">
      <c r="A3" s="3" t="s">
        <v>988</v>
      </c>
      <c r="B3" s="3" t="s">
        <v>568</v>
      </c>
      <c r="C3" s="3" t="s">
        <v>158</v>
      </c>
      <c r="D3" s="3" t="s">
        <v>989</v>
      </c>
      <c r="E3" s="3" t="s">
        <v>990</v>
      </c>
      <c r="F3" s="3" t="s">
        <v>356</v>
      </c>
      <c r="G3" s="3" t="s">
        <v>991</v>
      </c>
      <c r="H3" s="3" t="s">
        <v>649</v>
      </c>
      <c r="I3" s="3" t="s">
        <v>992</v>
      </c>
      <c r="J3" s="3" t="s">
        <v>967</v>
      </c>
      <c r="K3" s="3" t="s">
        <v>993</v>
      </c>
    </row>
    <row r="4" spans="1:11" ht="28.5">
      <c r="A4" s="3" t="s">
        <v>994</v>
      </c>
      <c r="B4" s="3" t="s">
        <v>571</v>
      </c>
      <c r="C4" s="3" t="s">
        <v>172</v>
      </c>
      <c r="D4" s="3" t="s">
        <v>995</v>
      </c>
      <c r="E4" s="3" t="s">
        <v>996</v>
      </c>
      <c r="F4" s="3" t="s">
        <v>346</v>
      </c>
      <c r="G4" s="3" t="s">
        <v>997</v>
      </c>
      <c r="H4" s="3" t="s">
        <v>605</v>
      </c>
      <c r="I4" s="3" t="s">
        <v>998</v>
      </c>
      <c r="J4" s="3" t="s">
        <v>967</v>
      </c>
      <c r="K4" s="3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4"/>
  <sheetViews>
    <sheetView workbookViewId="0"/>
  </sheetViews>
  <sheetFormatPr defaultRowHeight="14.25"/>
  <cols>
    <col min="1" max="11" width="18" customWidth="1"/>
  </cols>
  <sheetData>
    <row r="1" spans="1:11" ht="30">
      <c r="A1" s="2" t="s">
        <v>999</v>
      </c>
      <c r="B1" s="2" t="s">
        <v>600</v>
      </c>
      <c r="C1" s="2" t="s">
        <v>138</v>
      </c>
      <c r="D1" s="2" t="s">
        <v>1000</v>
      </c>
      <c r="E1" s="2" t="s">
        <v>1001</v>
      </c>
      <c r="F1" s="2" t="s">
        <v>1002</v>
      </c>
      <c r="G1" s="2" t="s">
        <v>1003</v>
      </c>
      <c r="H1" s="2" t="s">
        <v>1004</v>
      </c>
      <c r="I1" s="2" t="s">
        <v>1005</v>
      </c>
      <c r="J1" s="2" t="s">
        <v>1006</v>
      </c>
      <c r="K1" s="2" t="s">
        <v>1007</v>
      </c>
    </row>
    <row r="2" spans="1:11" ht="42.75">
      <c r="A2" s="3" t="s">
        <v>1008</v>
      </c>
      <c r="B2" s="3" t="s">
        <v>574</v>
      </c>
      <c r="C2" s="3" t="s">
        <v>180</v>
      </c>
      <c r="D2" s="3" t="s">
        <v>975</v>
      </c>
      <c r="E2" s="3">
        <v>4</v>
      </c>
      <c r="F2" s="3">
        <v>5</v>
      </c>
      <c r="G2" s="3">
        <v>4</v>
      </c>
      <c r="H2" s="3">
        <v>4.5</v>
      </c>
      <c r="I2" s="3" t="s">
        <v>344</v>
      </c>
      <c r="J2" s="3" t="s">
        <v>1009</v>
      </c>
      <c r="K2" s="3" t="s">
        <v>345</v>
      </c>
    </row>
    <row r="3" spans="1:11">
      <c r="A3" s="3" t="s">
        <v>1010</v>
      </c>
      <c r="B3" s="3" t="s">
        <v>568</v>
      </c>
      <c r="C3" s="3" t="s">
        <v>152</v>
      </c>
      <c r="D3" s="3"/>
      <c r="E3" s="3">
        <v>0</v>
      </c>
      <c r="F3" s="3">
        <v>0</v>
      </c>
      <c r="G3" s="3">
        <v>0</v>
      </c>
      <c r="H3" s="3">
        <v>0</v>
      </c>
      <c r="I3" s="3" t="s">
        <v>126</v>
      </c>
      <c r="J3" s="3"/>
      <c r="K3" s="3" t="s">
        <v>344</v>
      </c>
    </row>
    <row r="4" spans="1:11">
      <c r="A4" s="3" t="s">
        <v>1011</v>
      </c>
      <c r="B4" s="3" t="s">
        <v>571</v>
      </c>
      <c r="C4" s="3" t="s">
        <v>166</v>
      </c>
      <c r="D4" s="3"/>
      <c r="E4" s="3">
        <v>0</v>
      </c>
      <c r="F4" s="3">
        <v>0</v>
      </c>
      <c r="G4" s="3">
        <v>0</v>
      </c>
      <c r="H4" s="3">
        <v>0</v>
      </c>
      <c r="I4" s="3" t="s">
        <v>126</v>
      </c>
      <c r="J4" s="3"/>
      <c r="K4" s="3" t="s">
        <v>344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9"/>
  <sheetViews>
    <sheetView workbookViewId="0"/>
  </sheetViews>
  <sheetFormatPr defaultRowHeight="14.25"/>
  <cols>
    <col min="1" max="3" width="34" customWidth="1"/>
    <col min="4" max="5" width="18" customWidth="1"/>
    <col min="6" max="6" width="34" customWidth="1"/>
    <col min="7" max="10" width="18" customWidth="1"/>
  </cols>
  <sheetData>
    <row r="1" spans="1:10" ht="15">
      <c r="A1" s="2" t="s">
        <v>1012</v>
      </c>
      <c r="B1" s="2" t="s">
        <v>1013</v>
      </c>
      <c r="C1" s="2" t="s">
        <v>933</v>
      </c>
      <c r="D1" s="2" t="s">
        <v>1014</v>
      </c>
      <c r="E1" s="2" t="s">
        <v>1015</v>
      </c>
      <c r="F1" s="2" t="s">
        <v>1016</v>
      </c>
      <c r="G1" s="2" t="s">
        <v>1017</v>
      </c>
      <c r="H1" s="2" t="s">
        <v>1018</v>
      </c>
      <c r="I1" s="2" t="s">
        <v>1019</v>
      </c>
      <c r="J1" s="2" t="s">
        <v>147</v>
      </c>
    </row>
    <row r="2" spans="1:10" ht="57">
      <c r="A2" s="3" t="s">
        <v>1020</v>
      </c>
      <c r="B2" s="3" t="s">
        <v>1021</v>
      </c>
      <c r="C2" s="3" t="s">
        <v>1022</v>
      </c>
      <c r="D2" s="3" t="s">
        <v>365</v>
      </c>
      <c r="E2" s="3" t="s">
        <v>1023</v>
      </c>
      <c r="F2" s="3" t="s">
        <v>356</v>
      </c>
      <c r="G2" s="3" t="s">
        <v>1024</v>
      </c>
      <c r="H2" s="3" t="s">
        <v>210</v>
      </c>
      <c r="I2" s="3"/>
      <c r="J2" s="3" t="s">
        <v>967</v>
      </c>
    </row>
    <row r="3" spans="1:10" ht="57">
      <c r="A3" s="3" t="s">
        <v>1025</v>
      </c>
      <c r="B3" s="3" t="s">
        <v>983</v>
      </c>
      <c r="C3" s="3" t="s">
        <v>1026</v>
      </c>
      <c r="D3" s="3" t="s">
        <v>346</v>
      </c>
      <c r="E3" s="3" t="s">
        <v>356</v>
      </c>
      <c r="F3" s="3" t="s">
        <v>356</v>
      </c>
      <c r="G3" s="3" t="s">
        <v>1027</v>
      </c>
      <c r="H3" s="3" t="s">
        <v>605</v>
      </c>
      <c r="I3" s="3"/>
      <c r="J3" s="3" t="s">
        <v>967</v>
      </c>
    </row>
    <row r="4" spans="1:10" ht="57">
      <c r="A4" s="3" t="s">
        <v>1028</v>
      </c>
      <c r="B4" s="3" t="s">
        <v>1029</v>
      </c>
      <c r="C4" s="3" t="s">
        <v>1030</v>
      </c>
      <c r="D4" s="3" t="s">
        <v>346</v>
      </c>
      <c r="E4" s="3" t="s">
        <v>346</v>
      </c>
      <c r="F4" s="3" t="s">
        <v>346</v>
      </c>
      <c r="G4" s="3" t="s">
        <v>1031</v>
      </c>
      <c r="H4" s="3" t="s">
        <v>283</v>
      </c>
      <c r="I4" s="3"/>
      <c r="J4" s="3" t="s">
        <v>967</v>
      </c>
    </row>
    <row r="5" spans="1:10" ht="28.5">
      <c r="A5" s="3" t="s">
        <v>1032</v>
      </c>
      <c r="B5" s="3" t="s">
        <v>1033</v>
      </c>
      <c r="C5" s="3" t="s">
        <v>1034</v>
      </c>
      <c r="D5" s="3" t="s">
        <v>346</v>
      </c>
      <c r="E5" s="3" t="s">
        <v>346</v>
      </c>
      <c r="F5" s="3" t="s">
        <v>346</v>
      </c>
      <c r="G5" s="3" t="s">
        <v>1035</v>
      </c>
      <c r="H5" s="3" t="s">
        <v>304</v>
      </c>
      <c r="I5" s="3"/>
      <c r="J5" s="3" t="s">
        <v>967</v>
      </c>
    </row>
    <row r="6" spans="1:10" ht="57">
      <c r="A6" s="3" t="s">
        <v>1036</v>
      </c>
      <c r="B6" s="3" t="s">
        <v>1037</v>
      </c>
      <c r="C6" s="3" t="s">
        <v>1038</v>
      </c>
      <c r="D6" s="3" t="s">
        <v>346</v>
      </c>
      <c r="E6" s="3" t="s">
        <v>356</v>
      </c>
      <c r="F6" s="3" t="s">
        <v>356</v>
      </c>
      <c r="G6" s="3" t="s">
        <v>1039</v>
      </c>
      <c r="H6" s="3" t="s">
        <v>266</v>
      </c>
      <c r="I6" s="3"/>
      <c r="J6" s="3" t="s">
        <v>967</v>
      </c>
    </row>
    <row r="7" spans="1:10" ht="42.75">
      <c r="A7" s="3" t="s">
        <v>1040</v>
      </c>
      <c r="B7" s="3" t="s">
        <v>1041</v>
      </c>
      <c r="C7" s="3" t="s">
        <v>1042</v>
      </c>
      <c r="D7" s="3" t="s">
        <v>346</v>
      </c>
      <c r="E7" s="3" t="s">
        <v>356</v>
      </c>
      <c r="F7" s="3" t="s">
        <v>356</v>
      </c>
      <c r="G7" s="3" t="s">
        <v>1043</v>
      </c>
      <c r="H7" s="3" t="s">
        <v>605</v>
      </c>
      <c r="I7" s="3"/>
      <c r="J7" s="3" t="s">
        <v>967</v>
      </c>
    </row>
    <row r="8" spans="1:10" ht="57">
      <c r="A8" s="3" t="s">
        <v>1044</v>
      </c>
      <c r="B8" s="3" t="s">
        <v>1045</v>
      </c>
      <c r="C8" s="3" t="s">
        <v>1046</v>
      </c>
      <c r="D8" s="3" t="s">
        <v>346</v>
      </c>
      <c r="E8" s="3" t="s">
        <v>346</v>
      </c>
      <c r="F8" s="3" t="s">
        <v>346</v>
      </c>
      <c r="G8" s="3" t="s">
        <v>1047</v>
      </c>
      <c r="H8" s="3" t="s">
        <v>283</v>
      </c>
      <c r="I8" s="3"/>
      <c r="J8" s="3" t="s">
        <v>967</v>
      </c>
    </row>
    <row r="9" spans="1:10" ht="42.75">
      <c r="A9" s="3" t="s">
        <v>1048</v>
      </c>
      <c r="B9" s="3" t="s">
        <v>1049</v>
      </c>
      <c r="C9" s="3" t="s">
        <v>1050</v>
      </c>
      <c r="D9" s="3" t="s">
        <v>346</v>
      </c>
      <c r="E9" s="3" t="s">
        <v>356</v>
      </c>
      <c r="F9" s="3" t="s">
        <v>356</v>
      </c>
      <c r="G9" s="3" t="s">
        <v>1051</v>
      </c>
      <c r="H9" s="3" t="s">
        <v>210</v>
      </c>
      <c r="I9" s="3"/>
      <c r="J9" s="3" t="s">
        <v>967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"/>
  <sheetViews>
    <sheetView workbookViewId="0"/>
  </sheetViews>
  <sheetFormatPr defaultRowHeight="14.25"/>
  <cols>
    <col min="1" max="12" width="18" customWidth="1"/>
    <col min="13" max="13" width="34" customWidth="1"/>
  </cols>
  <sheetData>
    <row r="1" spans="1:13" ht="30">
      <c r="A1" s="2" t="s">
        <v>1052</v>
      </c>
      <c r="B1" s="2" t="s">
        <v>600</v>
      </c>
      <c r="C1" s="2" t="s">
        <v>138</v>
      </c>
      <c r="D1" s="2" t="s">
        <v>1053</v>
      </c>
      <c r="E1" s="2" t="s">
        <v>1054</v>
      </c>
      <c r="F1" s="2" t="s">
        <v>1055</v>
      </c>
      <c r="G1" s="2" t="s">
        <v>1056</v>
      </c>
      <c r="H1" s="2" t="s">
        <v>1057</v>
      </c>
      <c r="I1" s="2" t="s">
        <v>1058</v>
      </c>
      <c r="J1" s="2" t="s">
        <v>1059</v>
      </c>
      <c r="K1" s="2" t="s">
        <v>1060</v>
      </c>
      <c r="L1" s="2" t="s">
        <v>1061</v>
      </c>
      <c r="M1" s="2" t="s">
        <v>36</v>
      </c>
    </row>
    <row r="2" spans="1:13">
      <c r="A2" s="3" t="s">
        <v>1062</v>
      </c>
      <c r="B2" s="3" t="s">
        <v>568</v>
      </c>
      <c r="C2" s="3" t="s">
        <v>152</v>
      </c>
      <c r="D2" s="3" t="s">
        <v>345</v>
      </c>
      <c r="E2" s="3" t="s">
        <v>345</v>
      </c>
      <c r="F2" s="3" t="s">
        <v>345</v>
      </c>
      <c r="G2" s="3" t="s">
        <v>345</v>
      </c>
      <c r="H2" s="3" t="s">
        <v>345</v>
      </c>
      <c r="I2" s="3" t="s">
        <v>345</v>
      </c>
      <c r="J2" s="3" t="s">
        <v>345</v>
      </c>
      <c r="K2" s="3" t="s">
        <v>345</v>
      </c>
      <c r="L2" s="3" t="s">
        <v>967</v>
      </c>
      <c r="M2" s="3" t="s">
        <v>1063</v>
      </c>
    </row>
    <row r="3" spans="1:13">
      <c r="A3" s="3" t="s">
        <v>1064</v>
      </c>
      <c r="B3" s="3" t="s">
        <v>571</v>
      </c>
      <c r="C3" s="3" t="s">
        <v>166</v>
      </c>
      <c r="D3" s="3" t="s">
        <v>345</v>
      </c>
      <c r="E3" s="3" t="s">
        <v>345</v>
      </c>
      <c r="F3" s="3" t="s">
        <v>345</v>
      </c>
      <c r="G3" s="3" t="s">
        <v>345</v>
      </c>
      <c r="H3" s="3" t="s">
        <v>345</v>
      </c>
      <c r="I3" s="3" t="s">
        <v>345</v>
      </c>
      <c r="J3" s="3" t="s">
        <v>345</v>
      </c>
      <c r="K3" s="3" t="s">
        <v>345</v>
      </c>
      <c r="L3" s="3" t="s">
        <v>967</v>
      </c>
      <c r="M3" s="3" t="s">
        <v>1065</v>
      </c>
    </row>
    <row r="4" spans="1:13">
      <c r="A4" s="3" t="s">
        <v>1066</v>
      </c>
      <c r="B4" s="3" t="s">
        <v>574</v>
      </c>
      <c r="C4" s="3" t="s">
        <v>180</v>
      </c>
      <c r="D4" s="3" t="s">
        <v>344</v>
      </c>
      <c r="E4" s="3" t="s">
        <v>344</v>
      </c>
      <c r="F4" s="3" t="s">
        <v>344</v>
      </c>
      <c r="G4" s="3" t="s">
        <v>344</v>
      </c>
      <c r="H4" s="3" t="s">
        <v>345</v>
      </c>
      <c r="I4" s="3" t="s">
        <v>345</v>
      </c>
      <c r="J4" s="3" t="s">
        <v>344</v>
      </c>
      <c r="K4" s="3" t="s">
        <v>344</v>
      </c>
      <c r="L4" s="3" t="s">
        <v>82</v>
      </c>
      <c r="M4" s="3"/>
    </row>
    <row r="5" spans="1:13">
      <c r="A5" s="3" t="s">
        <v>1067</v>
      </c>
      <c r="B5" s="3" t="s">
        <v>580</v>
      </c>
      <c r="C5" s="3" t="s">
        <v>214</v>
      </c>
      <c r="D5" s="3" t="s">
        <v>345</v>
      </c>
      <c r="E5" s="3" t="s">
        <v>345</v>
      </c>
      <c r="F5" s="3" t="s">
        <v>344</v>
      </c>
      <c r="G5" s="3" t="s">
        <v>184</v>
      </c>
      <c r="H5" s="3" t="s">
        <v>345</v>
      </c>
      <c r="I5" s="3" t="s">
        <v>345</v>
      </c>
      <c r="J5" s="3" t="s">
        <v>345</v>
      </c>
      <c r="K5" s="3" t="s">
        <v>345</v>
      </c>
      <c r="L5" s="3" t="s">
        <v>967</v>
      </c>
      <c r="M5" s="3" t="s">
        <v>1068</v>
      </c>
    </row>
  </sheetData>
  <dataValidations count="1">
    <dataValidation type="list" sqref="L2:L200" xr:uid="{00000000-0002-0000-1C00-000000000000}">
      <formula1>"New Lead,Contacted,Inspection Scheduled,Quotation Issued,Agreement Sent,Agreement Signed,Deposit Received,Work Order Created,Scheduled,Confirmed,Packing,Loading,In Transit,Delivery,Completed,Closed,Pending,Open,Paid,Unpaid,Partial"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5"/>
  <sheetViews>
    <sheetView workbookViewId="0"/>
  </sheetViews>
  <sheetFormatPr defaultRowHeight="14.25"/>
  <cols>
    <col min="1" max="6" width="18" customWidth="1"/>
    <col min="7" max="7" width="34" customWidth="1"/>
  </cols>
  <sheetData>
    <row r="1" spans="1:7" ht="15">
      <c r="A1" s="2" t="s">
        <v>1069</v>
      </c>
      <c r="B1" s="2" t="s">
        <v>1070</v>
      </c>
      <c r="C1" s="2" t="s">
        <v>1071</v>
      </c>
      <c r="D1" s="2" t="s">
        <v>1072</v>
      </c>
      <c r="E1" s="2" t="s">
        <v>713</v>
      </c>
      <c r="F1" s="2" t="s">
        <v>1073</v>
      </c>
      <c r="G1" s="2" t="s">
        <v>36</v>
      </c>
    </row>
    <row r="2" spans="1:7" ht="28.5">
      <c r="A2" s="3" t="s">
        <v>1074</v>
      </c>
      <c r="B2" s="3" t="s">
        <v>1075</v>
      </c>
      <c r="C2" s="3"/>
      <c r="D2" s="3" t="s">
        <v>39</v>
      </c>
      <c r="E2" s="3" t="s">
        <v>198</v>
      </c>
      <c r="F2" s="3" t="s">
        <v>1076</v>
      </c>
      <c r="G2" s="3"/>
    </row>
    <row r="3" spans="1:7" ht="28.5">
      <c r="A3" s="3" t="s">
        <v>1077</v>
      </c>
      <c r="B3" s="3" t="s">
        <v>1078</v>
      </c>
      <c r="C3" s="3"/>
      <c r="D3" s="3" t="s">
        <v>47</v>
      </c>
      <c r="E3" s="3" t="s">
        <v>160</v>
      </c>
      <c r="F3" s="3" t="s">
        <v>1076</v>
      </c>
      <c r="G3" s="3"/>
    </row>
    <row r="4" spans="1:7" ht="28.5">
      <c r="A4" s="3" t="s">
        <v>1079</v>
      </c>
      <c r="B4" s="3" t="s">
        <v>1080</v>
      </c>
      <c r="C4" s="3"/>
      <c r="D4" s="3" t="s">
        <v>50</v>
      </c>
      <c r="E4" s="3" t="s">
        <v>259</v>
      </c>
      <c r="F4" s="3" t="s">
        <v>1076</v>
      </c>
      <c r="G4" s="3" t="s">
        <v>1081</v>
      </c>
    </row>
    <row r="5" spans="1:7" ht="28.5">
      <c r="A5" s="3" t="s">
        <v>1082</v>
      </c>
      <c r="B5" s="3" t="s">
        <v>1080</v>
      </c>
      <c r="C5" s="3"/>
      <c r="D5" s="3" t="s">
        <v>1083</v>
      </c>
      <c r="E5" s="3" t="s">
        <v>1084</v>
      </c>
      <c r="F5" s="3" t="s">
        <v>1076</v>
      </c>
      <c r="G5" s="3" t="s">
        <v>1085</v>
      </c>
    </row>
    <row r="6" spans="1:7" ht="28.5">
      <c r="A6" s="3" t="s">
        <v>1086</v>
      </c>
      <c r="B6" s="3" t="s">
        <v>1080</v>
      </c>
      <c r="C6" s="3"/>
      <c r="D6" s="3" t="s">
        <v>55</v>
      </c>
      <c r="E6" s="3" t="s">
        <v>266</v>
      </c>
      <c r="F6" s="3" t="s">
        <v>1076</v>
      </c>
      <c r="G6" s="3"/>
    </row>
    <row r="7" spans="1:7">
      <c r="A7" s="3" t="s">
        <v>1087</v>
      </c>
      <c r="B7" s="3" t="s">
        <v>1088</v>
      </c>
      <c r="C7" s="3"/>
      <c r="D7" s="3" t="s">
        <v>74</v>
      </c>
      <c r="E7" s="3" t="s">
        <v>210</v>
      </c>
      <c r="F7" s="3" t="s">
        <v>1089</v>
      </c>
      <c r="G7" s="3"/>
    </row>
    <row r="8" spans="1:7">
      <c r="A8" s="3" t="s">
        <v>1090</v>
      </c>
      <c r="B8" s="3" t="s">
        <v>1088</v>
      </c>
      <c r="C8" s="3"/>
      <c r="D8" s="3" t="s">
        <v>74</v>
      </c>
      <c r="E8" s="3" t="s">
        <v>210</v>
      </c>
      <c r="F8" s="3" t="s">
        <v>1089</v>
      </c>
      <c r="G8" s="3"/>
    </row>
    <row r="9" spans="1:7" ht="28.5">
      <c r="A9" s="3" t="s">
        <v>1091</v>
      </c>
      <c r="B9" s="3" t="s">
        <v>1092</v>
      </c>
      <c r="C9" s="3"/>
      <c r="D9" s="3" t="s">
        <v>1093</v>
      </c>
      <c r="E9" s="3" t="s">
        <v>266</v>
      </c>
      <c r="F9" s="3" t="s">
        <v>1089</v>
      </c>
      <c r="G9" s="3"/>
    </row>
    <row r="10" spans="1:7" ht="28.5">
      <c r="A10" s="3" t="s">
        <v>1094</v>
      </c>
      <c r="B10" s="3" t="s">
        <v>1095</v>
      </c>
      <c r="C10" s="3"/>
      <c r="D10" s="3" t="s">
        <v>1096</v>
      </c>
      <c r="E10" s="3" t="s">
        <v>605</v>
      </c>
      <c r="F10" s="3" t="s">
        <v>1076</v>
      </c>
      <c r="G10" s="3"/>
    </row>
    <row r="11" spans="1:7" ht="28.5">
      <c r="A11" s="3" t="s">
        <v>1097</v>
      </c>
      <c r="B11" s="3" t="s">
        <v>1075</v>
      </c>
      <c r="C11" s="3"/>
      <c r="D11" s="3" t="s">
        <v>1098</v>
      </c>
      <c r="E11" s="3" t="s">
        <v>210</v>
      </c>
      <c r="F11" s="3" t="s">
        <v>1076</v>
      </c>
      <c r="G11" s="3"/>
    </row>
    <row r="12" spans="1:7" ht="28.5">
      <c r="A12" s="3" t="s">
        <v>1099</v>
      </c>
      <c r="B12" s="3" t="s">
        <v>1100</v>
      </c>
      <c r="C12" s="3"/>
      <c r="D12" s="3" t="s">
        <v>1101</v>
      </c>
      <c r="E12" s="3" t="s">
        <v>210</v>
      </c>
      <c r="F12" s="3" t="s">
        <v>1089</v>
      </c>
      <c r="G12" s="3"/>
    </row>
    <row r="13" spans="1:7" ht="28.5">
      <c r="A13" s="3" t="s">
        <v>1102</v>
      </c>
      <c r="B13" s="3" t="s">
        <v>1103</v>
      </c>
      <c r="C13" s="3"/>
      <c r="D13" s="3" t="s">
        <v>1104</v>
      </c>
      <c r="E13" s="3" t="s">
        <v>1105</v>
      </c>
      <c r="F13" s="3" t="s">
        <v>1089</v>
      </c>
      <c r="G13" s="3"/>
    </row>
    <row r="14" spans="1:7" ht="28.5">
      <c r="A14" s="3" t="s">
        <v>1106</v>
      </c>
      <c r="B14" s="3" t="s">
        <v>1107</v>
      </c>
      <c r="C14" s="3"/>
      <c r="D14" s="3" t="s">
        <v>55</v>
      </c>
      <c r="E14" s="3" t="s">
        <v>266</v>
      </c>
      <c r="F14" s="3" t="s">
        <v>1076</v>
      </c>
      <c r="G14" s="3"/>
    </row>
    <row r="15" spans="1:7" ht="28.5">
      <c r="A15" s="3" t="s">
        <v>1108</v>
      </c>
      <c r="B15" s="3" t="s">
        <v>1109</v>
      </c>
      <c r="C15" s="3"/>
      <c r="D15" s="3" t="s">
        <v>1110</v>
      </c>
      <c r="E15" s="3" t="s">
        <v>210</v>
      </c>
      <c r="F15" s="3" t="s">
        <v>1089</v>
      </c>
      <c r="G15" s="3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4"/>
  <sheetViews>
    <sheetView workbookViewId="0"/>
  </sheetViews>
  <sheetFormatPr defaultRowHeight="14.25"/>
  <cols>
    <col min="1" max="2" width="18" customWidth="1"/>
    <col min="3" max="3" width="34" customWidth="1"/>
    <col min="4" max="6" width="18" customWidth="1"/>
    <col min="7" max="7" width="34" customWidth="1"/>
  </cols>
  <sheetData>
    <row r="1" spans="1:7" ht="15">
      <c r="A1" s="2" t="s">
        <v>1111</v>
      </c>
      <c r="B1" s="2" t="s">
        <v>1112</v>
      </c>
      <c r="C1" s="2" t="s">
        <v>1113</v>
      </c>
      <c r="D1" s="2" t="s">
        <v>1114</v>
      </c>
      <c r="E1" s="2" t="s">
        <v>226</v>
      </c>
      <c r="F1" s="2" t="s">
        <v>84</v>
      </c>
      <c r="G1" s="2" t="s">
        <v>36</v>
      </c>
    </row>
    <row r="2" spans="1:7" ht="57">
      <c r="A2" s="3" t="s">
        <v>1115</v>
      </c>
      <c r="B2" s="3" t="s">
        <v>1116</v>
      </c>
      <c r="C2" s="3" t="s">
        <v>1117</v>
      </c>
      <c r="D2" s="3" t="s">
        <v>1118</v>
      </c>
      <c r="E2" s="3" t="s">
        <v>198</v>
      </c>
      <c r="F2" s="3" t="s">
        <v>356</v>
      </c>
      <c r="G2" s="3"/>
    </row>
    <row r="3" spans="1:7" ht="42.75">
      <c r="A3" s="3" t="s">
        <v>1119</v>
      </c>
      <c r="B3" s="3" t="s">
        <v>1120</v>
      </c>
      <c r="C3" s="3" t="s">
        <v>1121</v>
      </c>
      <c r="D3" s="3" t="s">
        <v>1122</v>
      </c>
      <c r="E3" s="3" t="s">
        <v>160</v>
      </c>
      <c r="F3" s="3" t="s">
        <v>356</v>
      </c>
      <c r="G3" s="3"/>
    </row>
    <row r="4" spans="1:7" ht="42.75">
      <c r="A4" s="3" t="s">
        <v>1123</v>
      </c>
      <c r="B4" s="3" t="s">
        <v>1124</v>
      </c>
      <c r="C4" s="3" t="s">
        <v>1125</v>
      </c>
      <c r="D4" s="3" t="s">
        <v>1126</v>
      </c>
      <c r="E4" s="3" t="s">
        <v>283</v>
      </c>
      <c r="F4" s="3" t="s">
        <v>356</v>
      </c>
      <c r="G4" s="3"/>
    </row>
    <row r="5" spans="1:7" ht="42.75">
      <c r="A5" s="3" t="s">
        <v>1127</v>
      </c>
      <c r="B5" s="3" t="s">
        <v>1128</v>
      </c>
      <c r="C5" s="3" t="s">
        <v>1129</v>
      </c>
      <c r="D5" s="3" t="s">
        <v>1130</v>
      </c>
      <c r="E5" s="3" t="s">
        <v>253</v>
      </c>
      <c r="F5" s="3" t="s">
        <v>356</v>
      </c>
      <c r="G5" s="3"/>
    </row>
    <row r="6" spans="1:7" ht="42.75">
      <c r="A6" s="3" t="s">
        <v>1131</v>
      </c>
      <c r="B6" s="3" t="s">
        <v>1132</v>
      </c>
      <c r="C6" s="3" t="s">
        <v>1133</v>
      </c>
      <c r="D6" s="3" t="s">
        <v>1134</v>
      </c>
      <c r="E6" s="3" t="s">
        <v>259</v>
      </c>
      <c r="F6" s="3" t="s">
        <v>356</v>
      </c>
      <c r="G6" s="3"/>
    </row>
    <row r="7" spans="1:7" ht="57">
      <c r="A7" s="3" t="s">
        <v>1083</v>
      </c>
      <c r="B7" s="3" t="s">
        <v>1135</v>
      </c>
      <c r="C7" s="3" t="s">
        <v>1136</v>
      </c>
      <c r="D7" s="3" t="s">
        <v>1137</v>
      </c>
      <c r="E7" s="3" t="s">
        <v>259</v>
      </c>
      <c r="F7" s="3" t="s">
        <v>1023</v>
      </c>
      <c r="G7" s="3" t="s">
        <v>1138</v>
      </c>
    </row>
    <row r="8" spans="1:7" ht="28.5">
      <c r="A8" s="3" t="s">
        <v>1139</v>
      </c>
      <c r="B8" s="3" t="s">
        <v>1140</v>
      </c>
      <c r="C8" s="3" t="s">
        <v>1141</v>
      </c>
      <c r="D8" s="3" t="s">
        <v>1142</v>
      </c>
      <c r="E8" s="3" t="s">
        <v>266</v>
      </c>
      <c r="F8" s="3" t="s">
        <v>356</v>
      </c>
      <c r="G8" s="3"/>
    </row>
    <row r="9" spans="1:7" ht="42.75">
      <c r="A9" s="3" t="s">
        <v>1143</v>
      </c>
      <c r="B9" s="3" t="s">
        <v>56</v>
      </c>
      <c r="C9" s="3" t="s">
        <v>1144</v>
      </c>
      <c r="D9" s="3" t="s">
        <v>1145</v>
      </c>
      <c r="E9" s="3" t="s">
        <v>1146</v>
      </c>
      <c r="F9" s="3" t="s">
        <v>356</v>
      </c>
      <c r="G9" s="3"/>
    </row>
    <row r="10" spans="1:7" ht="28.5">
      <c r="A10" s="3" t="s">
        <v>1147</v>
      </c>
      <c r="B10" s="3" t="s">
        <v>1148</v>
      </c>
      <c r="C10" s="3" t="s">
        <v>1149</v>
      </c>
      <c r="D10" s="3" t="s">
        <v>1150</v>
      </c>
      <c r="E10" s="3" t="s">
        <v>605</v>
      </c>
      <c r="F10" s="3" t="s">
        <v>356</v>
      </c>
      <c r="G10" s="3"/>
    </row>
    <row r="11" spans="1:7" ht="28.5">
      <c r="A11" s="3" t="s">
        <v>1151</v>
      </c>
      <c r="B11" s="3" t="s">
        <v>1152</v>
      </c>
      <c r="C11" s="3" t="s">
        <v>1153</v>
      </c>
      <c r="D11" s="3" t="s">
        <v>1154</v>
      </c>
      <c r="E11" s="3" t="s">
        <v>1155</v>
      </c>
      <c r="F11" s="3" t="s">
        <v>356</v>
      </c>
      <c r="G11" s="3"/>
    </row>
    <row r="12" spans="1:7" ht="28.5">
      <c r="A12" s="3" t="s">
        <v>1156</v>
      </c>
      <c r="B12" s="3" t="s">
        <v>1157</v>
      </c>
      <c r="C12" s="3" t="s">
        <v>1158</v>
      </c>
      <c r="D12" s="3" t="s">
        <v>1159</v>
      </c>
      <c r="E12" s="3" t="s">
        <v>210</v>
      </c>
      <c r="F12" s="3" t="s">
        <v>356</v>
      </c>
      <c r="G12" s="3"/>
    </row>
    <row r="13" spans="1:7" ht="28.5">
      <c r="A13" s="3" t="s">
        <v>1160</v>
      </c>
      <c r="B13" s="3" t="s">
        <v>1161</v>
      </c>
      <c r="C13" s="3" t="s">
        <v>1162</v>
      </c>
      <c r="D13" s="3" t="s">
        <v>1163</v>
      </c>
      <c r="E13" s="3" t="s">
        <v>283</v>
      </c>
      <c r="F13" s="3" t="s">
        <v>346</v>
      </c>
      <c r="G13" s="3"/>
    </row>
    <row r="14" spans="1:7" ht="28.5">
      <c r="A14" s="3" t="s">
        <v>1164</v>
      </c>
      <c r="B14" s="3" t="s">
        <v>1165</v>
      </c>
      <c r="C14" s="3" t="s">
        <v>1166</v>
      </c>
      <c r="D14" s="3" t="s">
        <v>1167</v>
      </c>
      <c r="E14" s="3" t="s">
        <v>259</v>
      </c>
      <c r="F14" s="3" t="s">
        <v>356</v>
      </c>
      <c r="G1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Dashboard</vt:lpstr>
      <vt:lpstr>Lists &amp; Status Values</vt:lpstr>
      <vt:lpstr>Client Enquiry Register</vt:lpstr>
      <vt:lpstr>Enterprise Workflow</vt:lpstr>
      <vt:lpstr>Needs Analysis Register</vt:lpstr>
      <vt:lpstr>Site Inspection Register</vt:lpstr>
      <vt:lpstr>Prohibited Item Declaration</vt:lpstr>
      <vt:lpstr>Inventory Register</vt:lpstr>
      <vt:lpstr>Quotation Register</vt:lpstr>
      <vt:lpstr>Agreement Register</vt:lpstr>
      <vt:lpstr>Payment Register</vt:lpstr>
      <vt:lpstr>Work Order Register</vt:lpstr>
      <vt:lpstr>Labour Allocation</vt:lpstr>
      <vt:lpstr>Vehicle Allocation</vt:lpstr>
      <vt:lpstr>Packing Checklist</vt:lpstr>
      <vt:lpstr>Loading Checklist</vt:lpstr>
      <vt:lpstr>Transit Tracker</vt:lpstr>
      <vt:lpstr>Delivery Checklist</vt:lpstr>
      <vt:lpstr>Move-In Checklist</vt:lpstr>
      <vt:lpstr>Move-Out Checklist</vt:lpstr>
      <vt:lpstr>Utility Address Transfer</vt:lpstr>
      <vt:lpstr>Delay Charge Register</vt:lpstr>
      <vt:lpstr>Illegal Items Incident Reg</vt:lpstr>
      <vt:lpstr>Damage Claim Register</vt:lpstr>
      <vt:lpstr>Complaint Register</vt:lpstr>
      <vt:lpstr>Incident Register</vt:lpstr>
      <vt:lpstr>Customer Feedback Register</vt:lpstr>
      <vt:lpstr>Risk Register</vt:lpstr>
      <vt:lpstr>Closure Register</vt:lpstr>
      <vt:lpstr>KPI Dashboard Data</vt:lpstr>
      <vt:lpstr>CRM Automation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Ullah Chowdhury</dc:creator>
  <cp:lastModifiedBy>Zafar Ullah Chowdhury</cp:lastModifiedBy>
  <dcterms:created xsi:type="dcterms:W3CDTF">2026-06-24T05:22:11Z</dcterms:created>
  <dcterms:modified xsi:type="dcterms:W3CDTF">2026-06-24T05:22:11Z</dcterms:modified>
</cp:coreProperties>
</file>